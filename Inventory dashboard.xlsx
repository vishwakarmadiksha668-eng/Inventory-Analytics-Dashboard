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Dell\Downloads\"/>
    </mc:Choice>
  </mc:AlternateContent>
  <xr:revisionPtr revIDLastSave="0" documentId="13_ncr:1_{D420EA74-DAAD-4628-980E-67616FF8C6FE}" xr6:coauthVersionLast="47" xr6:coauthVersionMax="47" xr10:uidLastSave="{00000000-0000-0000-0000-000000000000}"/>
  <bookViews>
    <workbookView xWindow="-120" yWindow="-120" windowWidth="20730" windowHeight="11160" xr2:uid="{C0F356DE-CE1C-439D-A92E-A7A7F693421C}"/>
  </bookViews>
  <sheets>
    <sheet name="Dashboard" sheetId="5" r:id="rId1"/>
    <sheet name="Detail1" sheetId="8" r:id="rId2"/>
    <sheet name="Pivot Table" sheetId="3" r:id="rId3"/>
    <sheet name="Sheet1" sheetId="6" r:id="rId4"/>
    <sheet name="Inventory Data" sheetId="1" r:id="rId5"/>
  </sheets>
  <definedNames>
    <definedName name="_xlnm._FilterDatabase" localSheetId="4" hidden="1">'Inventory Data'!$A$3:$L$503</definedName>
    <definedName name="_xlcn.WorksheetConnection_InventoryDatasetversion1.xlsbTable11" hidden="1">Table1[]</definedName>
    <definedName name="KPI_AvgUnitPrice">#REF!</definedName>
    <definedName name="KPI_LowStockCount">#REF!</definedName>
    <definedName name="KPI_TotalInvValue">#REF!</definedName>
    <definedName name="KPI_TotalPurchaseVal">#REF!</definedName>
    <definedName name="KPI_TotalQuantity">#REF!</definedName>
    <definedName name="KPI_TotalSalesVal">#REF!</definedName>
    <definedName name="Slicer_Category">#N/A</definedName>
    <definedName name="Slicer_Month">#N/A</definedName>
    <definedName name="Slicer_Stock_Status">#N/A</definedName>
    <definedName name="Slicer_Warehouse">#N/A</definedName>
  </definedNames>
  <calcPr calcId="191029"/>
  <pivotCaches>
    <pivotCache cacheId="0" r:id="rId6"/>
    <pivotCache cacheId="1" r:id="rId7"/>
    <pivotCache cacheId="2" r:id="rId8"/>
    <pivotCache cacheId="3" r:id="rId9"/>
    <pivotCache cacheId="4" r:id="rId10"/>
    <pivotCache cacheId="5"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Inventory Dataset (version 1).xlsb!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4" i="8" l="1"/>
  <c r="Q5" i="8"/>
  <c r="Q6" i="8"/>
  <c r="Q7" i="8"/>
  <c r="Q8" i="8"/>
  <c r="Q9" i="8"/>
  <c r="Q10" i="8"/>
  <c r="Q11" i="8"/>
  <c r="Q12" i="8"/>
  <c r="Q13" i="8"/>
  <c r="Q14" i="8"/>
  <c r="Q15" i="8"/>
  <c r="Q16" i="8"/>
  <c r="Q17" i="8"/>
  <c r="Q18" i="8"/>
  <c r="Q19" i="8"/>
  <c r="Q20" i="8"/>
  <c r="D7" i="3"/>
  <c r="D9" i="3"/>
  <c r="D8" i="3"/>
  <c r="D6" i="3"/>
  <c r="D5" i="3"/>
  <c r="D4" i="3"/>
  <c r="P4" i="1"/>
  <c r="Q4" i="1" s="1"/>
  <c r="P5" i="1"/>
  <c r="Q5" i="1" s="1"/>
  <c r="P6" i="1"/>
  <c r="Q6" i="1" s="1"/>
  <c r="P7" i="1"/>
  <c r="Q7" i="1" s="1"/>
  <c r="P8" i="1"/>
  <c r="Q8" i="1" s="1"/>
  <c r="P9" i="1"/>
  <c r="Q9" i="1" s="1"/>
  <c r="P10" i="1"/>
  <c r="Q10" i="1" s="1"/>
  <c r="P11" i="1"/>
  <c r="Q11" i="1" s="1"/>
  <c r="P12" i="1"/>
  <c r="Q12" i="1" s="1"/>
  <c r="P13" i="1"/>
  <c r="Q13" i="1" s="1"/>
  <c r="P14" i="1"/>
  <c r="Q14" i="1" s="1"/>
  <c r="P15" i="1"/>
  <c r="Q15" i="1" s="1"/>
  <c r="P16" i="1"/>
  <c r="Q16" i="1" s="1"/>
  <c r="P17" i="1"/>
  <c r="Q17" i="1" s="1"/>
  <c r="P18" i="1"/>
  <c r="Q18" i="1" s="1"/>
  <c r="P19" i="1"/>
  <c r="Q19" i="1" s="1"/>
  <c r="P20" i="1"/>
  <c r="Q20" i="1" s="1"/>
  <c r="P21" i="1"/>
  <c r="Q21" i="1" s="1"/>
  <c r="P22" i="1"/>
  <c r="Q22" i="1" s="1"/>
  <c r="P23" i="1"/>
  <c r="Q23" i="1" s="1"/>
  <c r="P24" i="1"/>
  <c r="Q24" i="1" s="1"/>
  <c r="P25" i="1"/>
  <c r="Q25" i="1" s="1"/>
  <c r="P26" i="1"/>
  <c r="Q26" i="1" s="1"/>
  <c r="P27" i="1"/>
  <c r="Q27" i="1" s="1"/>
  <c r="P28" i="1"/>
  <c r="Q28" i="1" s="1"/>
  <c r="P29" i="1"/>
  <c r="Q29" i="1" s="1"/>
  <c r="P30" i="1"/>
  <c r="Q30" i="1" s="1"/>
  <c r="P31" i="1"/>
  <c r="Q31" i="1" s="1"/>
  <c r="P32" i="1"/>
  <c r="Q32" i="1" s="1"/>
  <c r="P33" i="1"/>
  <c r="Q33" i="1" s="1"/>
  <c r="P34" i="1"/>
  <c r="Q34" i="1" s="1"/>
  <c r="P35" i="1"/>
  <c r="Q35" i="1" s="1"/>
  <c r="P36" i="1"/>
  <c r="Q36" i="1" s="1"/>
  <c r="P37" i="1"/>
  <c r="Q37" i="1" s="1"/>
  <c r="P38" i="1"/>
  <c r="Q38" i="1" s="1"/>
  <c r="P39" i="1"/>
  <c r="Q39" i="1" s="1"/>
  <c r="P40" i="1"/>
  <c r="Q40" i="1" s="1"/>
  <c r="P41" i="1"/>
  <c r="Q41" i="1" s="1"/>
  <c r="P42" i="1"/>
  <c r="Q42" i="1" s="1"/>
  <c r="P43" i="1"/>
  <c r="Q43" i="1" s="1"/>
  <c r="P44" i="1"/>
  <c r="Q44" i="1" s="1"/>
  <c r="P45" i="1"/>
  <c r="Q45" i="1" s="1"/>
  <c r="P46" i="1"/>
  <c r="Q46" i="1" s="1"/>
  <c r="P47" i="1"/>
  <c r="Q47" i="1" s="1"/>
  <c r="P48" i="1"/>
  <c r="Q48" i="1" s="1"/>
  <c r="P49" i="1"/>
  <c r="Q49" i="1" s="1"/>
  <c r="P50" i="1"/>
  <c r="Q50" i="1" s="1"/>
  <c r="P51" i="1"/>
  <c r="Q51" i="1" s="1"/>
  <c r="P52" i="1"/>
  <c r="Q52" i="1" s="1"/>
  <c r="P53" i="1"/>
  <c r="Q53" i="1" s="1"/>
  <c r="P54" i="1"/>
  <c r="Q54" i="1" s="1"/>
  <c r="P55" i="1"/>
  <c r="Q55" i="1" s="1"/>
  <c r="P56" i="1"/>
  <c r="Q56" i="1" s="1"/>
  <c r="P57" i="1"/>
  <c r="Q57" i="1" s="1"/>
  <c r="P58" i="1"/>
  <c r="Q58" i="1" s="1"/>
  <c r="P59" i="1"/>
  <c r="Q59" i="1" s="1"/>
  <c r="P60" i="1"/>
  <c r="Q60" i="1" s="1"/>
  <c r="P61" i="1"/>
  <c r="Q61" i="1" s="1"/>
  <c r="P62" i="1"/>
  <c r="Q62" i="1" s="1"/>
  <c r="P63" i="1"/>
  <c r="Q63" i="1" s="1"/>
  <c r="P64" i="1"/>
  <c r="Q64" i="1" s="1"/>
  <c r="P65" i="1"/>
  <c r="Q65" i="1" s="1"/>
  <c r="P66" i="1"/>
  <c r="Q66" i="1" s="1"/>
  <c r="P67" i="1"/>
  <c r="Q67" i="1" s="1"/>
  <c r="P68" i="1"/>
  <c r="Q68" i="1" s="1"/>
  <c r="P69" i="1"/>
  <c r="Q69" i="1" s="1"/>
  <c r="P70" i="1"/>
  <c r="Q70" i="1" s="1"/>
  <c r="P71" i="1"/>
  <c r="Q71" i="1" s="1"/>
  <c r="P72" i="1"/>
  <c r="Q72" i="1" s="1"/>
  <c r="P73" i="1"/>
  <c r="Q73" i="1" s="1"/>
  <c r="P74" i="1"/>
  <c r="Q74" i="1" s="1"/>
  <c r="P75" i="1"/>
  <c r="Q75" i="1" s="1"/>
  <c r="P76" i="1"/>
  <c r="Q76" i="1" s="1"/>
  <c r="P77" i="1"/>
  <c r="Q77" i="1" s="1"/>
  <c r="P78" i="1"/>
  <c r="Q78" i="1" s="1"/>
  <c r="P79" i="1"/>
  <c r="Q79" i="1" s="1"/>
  <c r="P80" i="1"/>
  <c r="Q80" i="1" s="1"/>
  <c r="P81" i="1"/>
  <c r="Q81" i="1" s="1"/>
  <c r="P82" i="1"/>
  <c r="Q82" i="1" s="1"/>
  <c r="P83" i="1"/>
  <c r="Q83" i="1" s="1"/>
  <c r="P84" i="1"/>
  <c r="Q84" i="1" s="1"/>
  <c r="P85" i="1"/>
  <c r="Q85" i="1" s="1"/>
  <c r="P86" i="1"/>
  <c r="Q86" i="1" s="1"/>
  <c r="P87" i="1"/>
  <c r="Q87" i="1" s="1"/>
  <c r="P88" i="1"/>
  <c r="Q88" i="1" s="1"/>
  <c r="P89" i="1"/>
  <c r="Q89" i="1" s="1"/>
  <c r="P90" i="1"/>
  <c r="Q90" i="1" s="1"/>
  <c r="P91" i="1"/>
  <c r="Q91" i="1" s="1"/>
  <c r="P92" i="1"/>
  <c r="Q92" i="1" s="1"/>
  <c r="P93" i="1"/>
  <c r="Q93" i="1" s="1"/>
  <c r="P94" i="1"/>
  <c r="Q94" i="1" s="1"/>
  <c r="P95" i="1"/>
  <c r="Q95" i="1" s="1"/>
  <c r="P96" i="1"/>
  <c r="Q96" i="1" s="1"/>
  <c r="P97" i="1"/>
  <c r="Q97" i="1" s="1"/>
  <c r="P98" i="1"/>
  <c r="Q98" i="1" s="1"/>
  <c r="P99" i="1"/>
  <c r="Q99" i="1" s="1"/>
  <c r="P100" i="1"/>
  <c r="Q100" i="1" s="1"/>
  <c r="P101" i="1"/>
  <c r="Q101" i="1" s="1"/>
  <c r="P102" i="1"/>
  <c r="Q102" i="1" s="1"/>
  <c r="P103" i="1"/>
  <c r="Q103" i="1" s="1"/>
  <c r="P104" i="1"/>
  <c r="Q104" i="1" s="1"/>
  <c r="P105" i="1"/>
  <c r="Q105" i="1" s="1"/>
  <c r="P106" i="1"/>
  <c r="Q106" i="1" s="1"/>
  <c r="P107" i="1"/>
  <c r="Q107" i="1" s="1"/>
  <c r="P108" i="1"/>
  <c r="Q108" i="1" s="1"/>
  <c r="P109" i="1"/>
  <c r="Q109" i="1" s="1"/>
  <c r="P110" i="1"/>
  <c r="Q110" i="1" s="1"/>
  <c r="P111" i="1"/>
  <c r="Q111" i="1" s="1"/>
  <c r="P112" i="1"/>
  <c r="Q112" i="1" s="1"/>
  <c r="P113" i="1"/>
  <c r="Q113" i="1" s="1"/>
  <c r="P114" i="1"/>
  <c r="Q114" i="1" s="1"/>
  <c r="P115" i="1"/>
  <c r="Q115" i="1" s="1"/>
  <c r="P116" i="1"/>
  <c r="Q116" i="1" s="1"/>
  <c r="P117" i="1"/>
  <c r="Q117" i="1" s="1"/>
  <c r="P118" i="1"/>
  <c r="Q118" i="1" s="1"/>
  <c r="P119" i="1"/>
  <c r="Q119" i="1" s="1"/>
  <c r="P120" i="1"/>
  <c r="Q120" i="1" s="1"/>
  <c r="P121" i="1"/>
  <c r="Q121" i="1" s="1"/>
  <c r="P122" i="1"/>
  <c r="Q122" i="1" s="1"/>
  <c r="P123" i="1"/>
  <c r="Q123" i="1" s="1"/>
  <c r="P124" i="1"/>
  <c r="Q124" i="1" s="1"/>
  <c r="P125" i="1"/>
  <c r="Q125" i="1" s="1"/>
  <c r="P126" i="1"/>
  <c r="Q126" i="1" s="1"/>
  <c r="P127" i="1"/>
  <c r="Q127" i="1" s="1"/>
  <c r="P128" i="1"/>
  <c r="Q128" i="1" s="1"/>
  <c r="P129" i="1"/>
  <c r="Q129" i="1" s="1"/>
  <c r="P130" i="1"/>
  <c r="Q130" i="1" s="1"/>
  <c r="P131" i="1"/>
  <c r="Q131" i="1" s="1"/>
  <c r="P132" i="1"/>
  <c r="Q132" i="1" s="1"/>
  <c r="P133" i="1"/>
  <c r="Q133" i="1" s="1"/>
  <c r="P134" i="1"/>
  <c r="Q134" i="1" s="1"/>
  <c r="P135" i="1"/>
  <c r="Q135" i="1" s="1"/>
  <c r="P136" i="1"/>
  <c r="Q136" i="1" s="1"/>
  <c r="P137" i="1"/>
  <c r="Q137" i="1" s="1"/>
  <c r="P138" i="1"/>
  <c r="Q138" i="1" s="1"/>
  <c r="P139" i="1"/>
  <c r="Q139" i="1" s="1"/>
  <c r="P140" i="1"/>
  <c r="Q140" i="1" s="1"/>
  <c r="P141" i="1"/>
  <c r="Q141" i="1" s="1"/>
  <c r="P142" i="1"/>
  <c r="Q142" i="1" s="1"/>
  <c r="P143" i="1"/>
  <c r="Q143" i="1" s="1"/>
  <c r="P144" i="1"/>
  <c r="Q144" i="1" s="1"/>
  <c r="P145" i="1"/>
  <c r="Q145" i="1" s="1"/>
  <c r="P146" i="1"/>
  <c r="Q146" i="1" s="1"/>
  <c r="P147" i="1"/>
  <c r="Q147" i="1" s="1"/>
  <c r="P148" i="1"/>
  <c r="Q148" i="1" s="1"/>
  <c r="P149" i="1"/>
  <c r="Q149" i="1" s="1"/>
  <c r="P150" i="1"/>
  <c r="Q150" i="1" s="1"/>
  <c r="P151" i="1"/>
  <c r="Q151" i="1" s="1"/>
  <c r="P152" i="1"/>
  <c r="Q152" i="1" s="1"/>
  <c r="P153" i="1"/>
  <c r="Q153" i="1" s="1"/>
  <c r="P154" i="1"/>
  <c r="Q154" i="1" s="1"/>
  <c r="P155" i="1"/>
  <c r="Q155" i="1" s="1"/>
  <c r="P156" i="1"/>
  <c r="Q156" i="1" s="1"/>
  <c r="P157" i="1"/>
  <c r="Q157" i="1" s="1"/>
  <c r="P158" i="1"/>
  <c r="Q158" i="1" s="1"/>
  <c r="P159" i="1"/>
  <c r="Q159" i="1" s="1"/>
  <c r="P160" i="1"/>
  <c r="Q160" i="1" s="1"/>
  <c r="P161" i="1"/>
  <c r="Q161" i="1" s="1"/>
  <c r="P162" i="1"/>
  <c r="Q162" i="1" s="1"/>
  <c r="P163" i="1"/>
  <c r="Q163" i="1" s="1"/>
  <c r="P164" i="1"/>
  <c r="Q164" i="1" s="1"/>
  <c r="P165" i="1"/>
  <c r="Q165" i="1" s="1"/>
  <c r="P166" i="1"/>
  <c r="Q166" i="1" s="1"/>
  <c r="P167" i="1"/>
  <c r="Q167" i="1" s="1"/>
  <c r="P168" i="1"/>
  <c r="Q168" i="1" s="1"/>
  <c r="P169" i="1"/>
  <c r="Q169" i="1" s="1"/>
  <c r="P170" i="1"/>
  <c r="Q170" i="1" s="1"/>
  <c r="P171" i="1"/>
  <c r="Q171" i="1" s="1"/>
  <c r="P172" i="1"/>
  <c r="Q172" i="1" s="1"/>
  <c r="P173" i="1"/>
  <c r="Q173" i="1" s="1"/>
  <c r="P174" i="1"/>
  <c r="Q174" i="1" s="1"/>
  <c r="P175" i="1"/>
  <c r="Q175" i="1" s="1"/>
  <c r="P176" i="1"/>
  <c r="Q176" i="1" s="1"/>
  <c r="P177" i="1"/>
  <c r="Q177" i="1" s="1"/>
  <c r="P178" i="1"/>
  <c r="Q178" i="1" s="1"/>
  <c r="P179" i="1"/>
  <c r="Q179" i="1" s="1"/>
  <c r="P180" i="1"/>
  <c r="Q180" i="1" s="1"/>
  <c r="P181" i="1"/>
  <c r="Q181" i="1" s="1"/>
  <c r="P182" i="1"/>
  <c r="Q182" i="1" s="1"/>
  <c r="P183" i="1"/>
  <c r="Q183" i="1" s="1"/>
  <c r="P184" i="1"/>
  <c r="Q184" i="1" s="1"/>
  <c r="P185" i="1"/>
  <c r="Q185" i="1" s="1"/>
  <c r="P186" i="1"/>
  <c r="Q186" i="1" s="1"/>
  <c r="P187" i="1"/>
  <c r="Q187" i="1" s="1"/>
  <c r="P188" i="1"/>
  <c r="Q188" i="1" s="1"/>
  <c r="P189" i="1"/>
  <c r="Q189" i="1" s="1"/>
  <c r="P190" i="1"/>
  <c r="Q190" i="1" s="1"/>
  <c r="P191" i="1"/>
  <c r="Q191" i="1" s="1"/>
  <c r="P192" i="1"/>
  <c r="Q192" i="1" s="1"/>
  <c r="P193" i="1"/>
  <c r="Q193" i="1" s="1"/>
  <c r="P194" i="1"/>
  <c r="Q194" i="1" s="1"/>
  <c r="P195" i="1"/>
  <c r="Q195" i="1" s="1"/>
  <c r="P196" i="1"/>
  <c r="Q196" i="1" s="1"/>
  <c r="P197" i="1"/>
  <c r="Q197" i="1" s="1"/>
  <c r="P198" i="1"/>
  <c r="Q198" i="1" s="1"/>
  <c r="P199" i="1"/>
  <c r="Q199" i="1" s="1"/>
  <c r="P200" i="1"/>
  <c r="Q200" i="1" s="1"/>
  <c r="P201" i="1"/>
  <c r="Q201" i="1" s="1"/>
  <c r="P202" i="1"/>
  <c r="Q202" i="1" s="1"/>
  <c r="P203" i="1"/>
  <c r="Q203" i="1" s="1"/>
  <c r="P204" i="1"/>
  <c r="Q204" i="1" s="1"/>
  <c r="P205" i="1"/>
  <c r="Q205" i="1" s="1"/>
  <c r="P206" i="1"/>
  <c r="Q206" i="1" s="1"/>
  <c r="P207" i="1"/>
  <c r="Q207" i="1" s="1"/>
  <c r="P208" i="1"/>
  <c r="Q208" i="1" s="1"/>
  <c r="P209" i="1"/>
  <c r="Q209" i="1" s="1"/>
  <c r="P210" i="1"/>
  <c r="Q210" i="1" s="1"/>
  <c r="P211" i="1"/>
  <c r="Q211" i="1" s="1"/>
  <c r="P212" i="1"/>
  <c r="Q212" i="1" s="1"/>
  <c r="P213" i="1"/>
  <c r="Q213" i="1" s="1"/>
  <c r="P214" i="1"/>
  <c r="Q214" i="1" s="1"/>
  <c r="P215" i="1"/>
  <c r="Q215" i="1" s="1"/>
  <c r="P216" i="1"/>
  <c r="Q216" i="1" s="1"/>
  <c r="P217" i="1"/>
  <c r="Q217" i="1" s="1"/>
  <c r="P218" i="1"/>
  <c r="Q218" i="1" s="1"/>
  <c r="P219" i="1"/>
  <c r="Q219" i="1" s="1"/>
  <c r="P220" i="1"/>
  <c r="Q220" i="1" s="1"/>
  <c r="P221" i="1"/>
  <c r="Q221" i="1" s="1"/>
  <c r="P222" i="1"/>
  <c r="Q222" i="1" s="1"/>
  <c r="P223" i="1"/>
  <c r="Q223" i="1" s="1"/>
  <c r="P224" i="1"/>
  <c r="Q224" i="1" s="1"/>
  <c r="P225" i="1"/>
  <c r="Q225" i="1" s="1"/>
  <c r="P226" i="1"/>
  <c r="Q226" i="1" s="1"/>
  <c r="P227" i="1"/>
  <c r="Q227" i="1" s="1"/>
  <c r="P228" i="1"/>
  <c r="Q228" i="1" s="1"/>
  <c r="P229" i="1"/>
  <c r="Q229" i="1" s="1"/>
  <c r="P230" i="1"/>
  <c r="Q230" i="1" s="1"/>
  <c r="P231" i="1"/>
  <c r="Q231" i="1" s="1"/>
  <c r="P232" i="1"/>
  <c r="Q232" i="1" s="1"/>
  <c r="P233" i="1"/>
  <c r="Q233" i="1" s="1"/>
  <c r="P234" i="1"/>
  <c r="Q234" i="1" s="1"/>
  <c r="P235" i="1"/>
  <c r="Q235" i="1" s="1"/>
  <c r="P236" i="1"/>
  <c r="Q236" i="1" s="1"/>
  <c r="P237" i="1"/>
  <c r="Q237" i="1" s="1"/>
  <c r="P238" i="1"/>
  <c r="Q238" i="1" s="1"/>
  <c r="P239" i="1"/>
  <c r="Q239" i="1" s="1"/>
  <c r="P240" i="1"/>
  <c r="Q240" i="1" s="1"/>
  <c r="P241" i="1"/>
  <c r="Q241" i="1" s="1"/>
  <c r="P242" i="1"/>
  <c r="Q242" i="1" s="1"/>
  <c r="P243" i="1"/>
  <c r="Q243" i="1" s="1"/>
  <c r="P244" i="1"/>
  <c r="Q244" i="1" s="1"/>
  <c r="P245" i="1"/>
  <c r="Q245" i="1" s="1"/>
  <c r="P246" i="1"/>
  <c r="Q246" i="1" s="1"/>
  <c r="P247" i="1"/>
  <c r="Q247" i="1" s="1"/>
  <c r="P248" i="1"/>
  <c r="Q248" i="1" s="1"/>
  <c r="P249" i="1"/>
  <c r="Q249" i="1" s="1"/>
  <c r="P250" i="1"/>
  <c r="Q250" i="1" s="1"/>
  <c r="P251" i="1"/>
  <c r="Q251" i="1" s="1"/>
  <c r="P252" i="1"/>
  <c r="Q252" i="1" s="1"/>
  <c r="P253" i="1"/>
  <c r="Q253" i="1" s="1"/>
  <c r="P254" i="1"/>
  <c r="Q254" i="1" s="1"/>
  <c r="P255" i="1"/>
  <c r="Q255" i="1" s="1"/>
  <c r="P256" i="1"/>
  <c r="Q256" i="1" s="1"/>
  <c r="P257" i="1"/>
  <c r="Q257" i="1" s="1"/>
  <c r="P258" i="1"/>
  <c r="Q258" i="1" s="1"/>
  <c r="P259" i="1"/>
  <c r="Q259" i="1" s="1"/>
  <c r="P260" i="1"/>
  <c r="Q260" i="1" s="1"/>
  <c r="P261" i="1"/>
  <c r="Q261" i="1" s="1"/>
  <c r="P262" i="1"/>
  <c r="Q262" i="1" s="1"/>
  <c r="P263" i="1"/>
  <c r="Q263" i="1" s="1"/>
  <c r="P264" i="1"/>
  <c r="Q264" i="1" s="1"/>
  <c r="P265" i="1"/>
  <c r="Q265" i="1" s="1"/>
  <c r="P266" i="1"/>
  <c r="Q266" i="1" s="1"/>
  <c r="P267" i="1"/>
  <c r="Q267" i="1" s="1"/>
  <c r="P268" i="1"/>
  <c r="Q268" i="1" s="1"/>
  <c r="P269" i="1"/>
  <c r="Q269" i="1" s="1"/>
  <c r="P270" i="1"/>
  <c r="Q270" i="1" s="1"/>
  <c r="P271" i="1"/>
  <c r="Q271" i="1" s="1"/>
  <c r="P272" i="1"/>
  <c r="Q272" i="1" s="1"/>
  <c r="P273" i="1"/>
  <c r="Q273" i="1" s="1"/>
  <c r="P274" i="1"/>
  <c r="Q274" i="1" s="1"/>
  <c r="P275" i="1"/>
  <c r="Q275" i="1" s="1"/>
  <c r="P276" i="1"/>
  <c r="Q276" i="1" s="1"/>
  <c r="P277" i="1"/>
  <c r="Q277" i="1" s="1"/>
  <c r="P278" i="1"/>
  <c r="Q278" i="1" s="1"/>
  <c r="P279" i="1"/>
  <c r="Q279" i="1" s="1"/>
  <c r="P280" i="1"/>
  <c r="Q280" i="1" s="1"/>
  <c r="P281" i="1"/>
  <c r="Q281" i="1" s="1"/>
  <c r="P282" i="1"/>
  <c r="Q282" i="1" s="1"/>
  <c r="P283" i="1"/>
  <c r="Q283" i="1" s="1"/>
  <c r="P284" i="1"/>
  <c r="Q284" i="1" s="1"/>
  <c r="P285" i="1"/>
  <c r="Q285" i="1" s="1"/>
  <c r="P286" i="1"/>
  <c r="Q286" i="1" s="1"/>
  <c r="P287" i="1"/>
  <c r="Q287" i="1" s="1"/>
  <c r="P288" i="1"/>
  <c r="Q288" i="1" s="1"/>
  <c r="P289" i="1"/>
  <c r="Q289" i="1" s="1"/>
  <c r="P290" i="1"/>
  <c r="Q290" i="1" s="1"/>
  <c r="P291" i="1"/>
  <c r="Q291" i="1" s="1"/>
  <c r="P292" i="1"/>
  <c r="Q292" i="1" s="1"/>
  <c r="P293" i="1"/>
  <c r="Q293" i="1" s="1"/>
  <c r="P294" i="1"/>
  <c r="Q294" i="1" s="1"/>
  <c r="P295" i="1"/>
  <c r="Q295" i="1" s="1"/>
  <c r="P296" i="1"/>
  <c r="Q296" i="1" s="1"/>
  <c r="P297" i="1"/>
  <c r="Q297" i="1" s="1"/>
  <c r="P298" i="1"/>
  <c r="Q298" i="1" s="1"/>
  <c r="P299" i="1"/>
  <c r="Q299" i="1" s="1"/>
  <c r="P300" i="1"/>
  <c r="Q300" i="1" s="1"/>
  <c r="P301" i="1"/>
  <c r="Q301" i="1" s="1"/>
  <c r="P302" i="1"/>
  <c r="Q302" i="1" s="1"/>
  <c r="P303" i="1"/>
  <c r="Q303" i="1" s="1"/>
  <c r="P304" i="1"/>
  <c r="Q304" i="1" s="1"/>
  <c r="P305" i="1"/>
  <c r="Q305" i="1" s="1"/>
  <c r="P306" i="1"/>
  <c r="Q306" i="1" s="1"/>
  <c r="P307" i="1"/>
  <c r="Q307" i="1" s="1"/>
  <c r="P308" i="1"/>
  <c r="Q308" i="1" s="1"/>
  <c r="P309" i="1"/>
  <c r="Q309" i="1" s="1"/>
  <c r="P310" i="1"/>
  <c r="Q310" i="1" s="1"/>
  <c r="P311" i="1"/>
  <c r="Q311" i="1" s="1"/>
  <c r="P312" i="1"/>
  <c r="Q312" i="1" s="1"/>
  <c r="P313" i="1"/>
  <c r="Q313" i="1" s="1"/>
  <c r="P314" i="1"/>
  <c r="Q314" i="1" s="1"/>
  <c r="P315" i="1"/>
  <c r="Q315" i="1" s="1"/>
  <c r="P316" i="1"/>
  <c r="Q316" i="1" s="1"/>
  <c r="P317" i="1"/>
  <c r="Q317" i="1" s="1"/>
  <c r="P318" i="1"/>
  <c r="Q318" i="1" s="1"/>
  <c r="P319" i="1"/>
  <c r="Q319" i="1" s="1"/>
  <c r="P320" i="1"/>
  <c r="Q320" i="1" s="1"/>
  <c r="P321" i="1"/>
  <c r="Q321" i="1" s="1"/>
  <c r="P322" i="1"/>
  <c r="Q322" i="1" s="1"/>
  <c r="P323" i="1"/>
  <c r="Q323" i="1" s="1"/>
  <c r="P324" i="1"/>
  <c r="Q324" i="1" s="1"/>
  <c r="P325" i="1"/>
  <c r="Q325" i="1" s="1"/>
  <c r="P326" i="1"/>
  <c r="Q326" i="1" s="1"/>
  <c r="P327" i="1"/>
  <c r="Q327" i="1" s="1"/>
  <c r="P328" i="1"/>
  <c r="Q328" i="1" s="1"/>
  <c r="P329" i="1"/>
  <c r="Q329" i="1" s="1"/>
  <c r="P330" i="1"/>
  <c r="Q330" i="1" s="1"/>
  <c r="P331" i="1"/>
  <c r="Q331" i="1" s="1"/>
  <c r="P332" i="1"/>
  <c r="Q332" i="1" s="1"/>
  <c r="P333" i="1"/>
  <c r="Q333" i="1" s="1"/>
  <c r="P334" i="1"/>
  <c r="Q334" i="1" s="1"/>
  <c r="P335" i="1"/>
  <c r="Q335" i="1" s="1"/>
  <c r="P336" i="1"/>
  <c r="Q336" i="1" s="1"/>
  <c r="P337" i="1"/>
  <c r="Q337" i="1" s="1"/>
  <c r="P338" i="1"/>
  <c r="Q338" i="1" s="1"/>
  <c r="P339" i="1"/>
  <c r="Q339" i="1" s="1"/>
  <c r="P340" i="1"/>
  <c r="Q340" i="1" s="1"/>
  <c r="P341" i="1"/>
  <c r="Q341" i="1" s="1"/>
  <c r="P342" i="1"/>
  <c r="Q342" i="1" s="1"/>
  <c r="P343" i="1"/>
  <c r="Q343" i="1" s="1"/>
  <c r="P344" i="1"/>
  <c r="Q344" i="1" s="1"/>
  <c r="P345" i="1"/>
  <c r="Q345" i="1" s="1"/>
  <c r="P346" i="1"/>
  <c r="Q346" i="1" s="1"/>
  <c r="P347" i="1"/>
  <c r="Q347" i="1" s="1"/>
  <c r="P348" i="1"/>
  <c r="Q348" i="1" s="1"/>
  <c r="P349" i="1"/>
  <c r="Q349" i="1" s="1"/>
  <c r="P350" i="1"/>
  <c r="Q350" i="1" s="1"/>
  <c r="P351" i="1"/>
  <c r="Q351" i="1" s="1"/>
  <c r="P352" i="1"/>
  <c r="Q352" i="1" s="1"/>
  <c r="P353" i="1"/>
  <c r="Q353" i="1" s="1"/>
  <c r="P354" i="1"/>
  <c r="Q354" i="1" s="1"/>
  <c r="P355" i="1"/>
  <c r="Q355" i="1" s="1"/>
  <c r="P356" i="1"/>
  <c r="Q356" i="1" s="1"/>
  <c r="P357" i="1"/>
  <c r="Q357" i="1" s="1"/>
  <c r="P358" i="1"/>
  <c r="Q358" i="1" s="1"/>
  <c r="P359" i="1"/>
  <c r="Q359" i="1" s="1"/>
  <c r="P360" i="1"/>
  <c r="Q360" i="1" s="1"/>
  <c r="P361" i="1"/>
  <c r="Q361" i="1" s="1"/>
  <c r="P362" i="1"/>
  <c r="Q362" i="1" s="1"/>
  <c r="P363" i="1"/>
  <c r="Q363" i="1" s="1"/>
  <c r="P364" i="1"/>
  <c r="Q364" i="1" s="1"/>
  <c r="P365" i="1"/>
  <c r="Q365" i="1" s="1"/>
  <c r="P366" i="1"/>
  <c r="Q366" i="1" s="1"/>
  <c r="P367" i="1"/>
  <c r="Q367" i="1" s="1"/>
  <c r="P368" i="1"/>
  <c r="Q368" i="1" s="1"/>
  <c r="P369" i="1"/>
  <c r="Q369" i="1" s="1"/>
  <c r="P370" i="1"/>
  <c r="Q370" i="1" s="1"/>
  <c r="P371" i="1"/>
  <c r="Q371" i="1" s="1"/>
  <c r="P372" i="1"/>
  <c r="Q372" i="1" s="1"/>
  <c r="P373" i="1"/>
  <c r="Q373" i="1" s="1"/>
  <c r="P374" i="1"/>
  <c r="Q374" i="1" s="1"/>
  <c r="P375" i="1"/>
  <c r="Q375" i="1" s="1"/>
  <c r="P376" i="1"/>
  <c r="Q376" i="1" s="1"/>
  <c r="P377" i="1"/>
  <c r="Q377" i="1" s="1"/>
  <c r="P378" i="1"/>
  <c r="Q378" i="1" s="1"/>
  <c r="P379" i="1"/>
  <c r="Q379" i="1" s="1"/>
  <c r="P380" i="1"/>
  <c r="Q380" i="1" s="1"/>
  <c r="P381" i="1"/>
  <c r="Q381" i="1" s="1"/>
  <c r="P382" i="1"/>
  <c r="Q382" i="1" s="1"/>
  <c r="P383" i="1"/>
  <c r="Q383" i="1" s="1"/>
  <c r="P384" i="1"/>
  <c r="Q384" i="1" s="1"/>
  <c r="P385" i="1"/>
  <c r="Q385" i="1" s="1"/>
  <c r="P386" i="1"/>
  <c r="Q386" i="1" s="1"/>
  <c r="P387" i="1"/>
  <c r="Q387" i="1" s="1"/>
  <c r="P388" i="1"/>
  <c r="Q388" i="1" s="1"/>
  <c r="P389" i="1"/>
  <c r="Q389" i="1" s="1"/>
  <c r="P390" i="1"/>
  <c r="Q390" i="1" s="1"/>
  <c r="P391" i="1"/>
  <c r="Q391" i="1" s="1"/>
  <c r="P392" i="1"/>
  <c r="Q392" i="1" s="1"/>
  <c r="P393" i="1"/>
  <c r="Q393" i="1" s="1"/>
  <c r="P394" i="1"/>
  <c r="Q394" i="1" s="1"/>
  <c r="P395" i="1"/>
  <c r="Q395" i="1" s="1"/>
  <c r="P396" i="1"/>
  <c r="Q396" i="1" s="1"/>
  <c r="P397" i="1"/>
  <c r="Q397" i="1" s="1"/>
  <c r="P398" i="1"/>
  <c r="Q398" i="1" s="1"/>
  <c r="P399" i="1"/>
  <c r="Q399" i="1" s="1"/>
  <c r="P400" i="1"/>
  <c r="Q400" i="1" s="1"/>
  <c r="P401" i="1"/>
  <c r="Q401" i="1" s="1"/>
  <c r="P402" i="1"/>
  <c r="Q402" i="1" s="1"/>
  <c r="P403" i="1"/>
  <c r="Q403" i="1" s="1"/>
  <c r="P404" i="1"/>
  <c r="Q404" i="1" s="1"/>
  <c r="P405" i="1"/>
  <c r="Q405" i="1" s="1"/>
  <c r="P406" i="1"/>
  <c r="Q406" i="1" s="1"/>
  <c r="P407" i="1"/>
  <c r="Q407" i="1" s="1"/>
  <c r="P408" i="1"/>
  <c r="Q408" i="1" s="1"/>
  <c r="P409" i="1"/>
  <c r="Q409" i="1" s="1"/>
  <c r="P410" i="1"/>
  <c r="Q410" i="1" s="1"/>
  <c r="P411" i="1"/>
  <c r="Q411" i="1" s="1"/>
  <c r="P412" i="1"/>
  <c r="Q412" i="1" s="1"/>
  <c r="P413" i="1"/>
  <c r="Q413" i="1" s="1"/>
  <c r="P414" i="1"/>
  <c r="Q414" i="1" s="1"/>
  <c r="P415" i="1"/>
  <c r="Q415" i="1" s="1"/>
  <c r="P416" i="1"/>
  <c r="Q416" i="1" s="1"/>
  <c r="P417" i="1"/>
  <c r="Q417" i="1" s="1"/>
  <c r="P418" i="1"/>
  <c r="Q418" i="1" s="1"/>
  <c r="P419" i="1"/>
  <c r="Q419" i="1" s="1"/>
  <c r="P420" i="1"/>
  <c r="Q420" i="1" s="1"/>
  <c r="P421" i="1"/>
  <c r="Q421" i="1" s="1"/>
  <c r="P422" i="1"/>
  <c r="Q422" i="1" s="1"/>
  <c r="P423" i="1"/>
  <c r="Q423" i="1" s="1"/>
  <c r="P424" i="1"/>
  <c r="Q424" i="1" s="1"/>
  <c r="P425" i="1"/>
  <c r="Q425" i="1" s="1"/>
  <c r="P426" i="1"/>
  <c r="Q426" i="1" s="1"/>
  <c r="P427" i="1"/>
  <c r="Q427" i="1" s="1"/>
  <c r="P428" i="1"/>
  <c r="Q428" i="1" s="1"/>
  <c r="P429" i="1"/>
  <c r="Q429" i="1" s="1"/>
  <c r="P430" i="1"/>
  <c r="Q430" i="1" s="1"/>
  <c r="P431" i="1"/>
  <c r="Q431" i="1" s="1"/>
  <c r="P432" i="1"/>
  <c r="Q432" i="1" s="1"/>
  <c r="P433" i="1"/>
  <c r="Q433" i="1" s="1"/>
  <c r="P434" i="1"/>
  <c r="Q434" i="1" s="1"/>
  <c r="P435" i="1"/>
  <c r="Q435" i="1" s="1"/>
  <c r="P436" i="1"/>
  <c r="Q436" i="1" s="1"/>
  <c r="P437" i="1"/>
  <c r="Q437" i="1" s="1"/>
  <c r="P438" i="1"/>
  <c r="Q438" i="1" s="1"/>
  <c r="P439" i="1"/>
  <c r="Q439" i="1" s="1"/>
  <c r="P440" i="1"/>
  <c r="Q440" i="1" s="1"/>
  <c r="P441" i="1"/>
  <c r="Q441" i="1" s="1"/>
  <c r="P442" i="1"/>
  <c r="Q442" i="1" s="1"/>
  <c r="P443" i="1"/>
  <c r="Q443" i="1" s="1"/>
  <c r="P444" i="1"/>
  <c r="Q444" i="1" s="1"/>
  <c r="P445" i="1"/>
  <c r="Q445" i="1" s="1"/>
  <c r="P446" i="1"/>
  <c r="Q446" i="1" s="1"/>
  <c r="P447" i="1"/>
  <c r="Q447" i="1" s="1"/>
  <c r="P448" i="1"/>
  <c r="Q448" i="1" s="1"/>
  <c r="P449" i="1"/>
  <c r="Q449" i="1" s="1"/>
  <c r="P450" i="1"/>
  <c r="Q450" i="1" s="1"/>
  <c r="P451" i="1"/>
  <c r="Q451" i="1" s="1"/>
  <c r="P452" i="1"/>
  <c r="Q452" i="1" s="1"/>
  <c r="P453" i="1"/>
  <c r="Q453" i="1" s="1"/>
  <c r="P454" i="1"/>
  <c r="Q454" i="1" s="1"/>
  <c r="P455" i="1"/>
  <c r="Q455" i="1" s="1"/>
  <c r="P456" i="1"/>
  <c r="Q456" i="1" s="1"/>
  <c r="P457" i="1"/>
  <c r="Q457" i="1" s="1"/>
  <c r="P458" i="1"/>
  <c r="Q458" i="1" s="1"/>
  <c r="P459" i="1"/>
  <c r="Q459" i="1" s="1"/>
  <c r="P460" i="1"/>
  <c r="Q460" i="1" s="1"/>
  <c r="P461" i="1"/>
  <c r="Q461" i="1" s="1"/>
  <c r="P462" i="1"/>
  <c r="Q462" i="1" s="1"/>
  <c r="P463" i="1"/>
  <c r="Q463" i="1" s="1"/>
  <c r="P464" i="1"/>
  <c r="Q464" i="1" s="1"/>
  <c r="P465" i="1"/>
  <c r="Q465" i="1" s="1"/>
  <c r="P466" i="1"/>
  <c r="Q466" i="1" s="1"/>
  <c r="P467" i="1"/>
  <c r="Q467" i="1" s="1"/>
  <c r="P468" i="1"/>
  <c r="Q468" i="1" s="1"/>
  <c r="P469" i="1"/>
  <c r="Q469" i="1" s="1"/>
  <c r="P470" i="1"/>
  <c r="Q470" i="1" s="1"/>
  <c r="P471" i="1"/>
  <c r="Q471" i="1" s="1"/>
  <c r="P472" i="1"/>
  <c r="Q472" i="1" s="1"/>
  <c r="P473" i="1"/>
  <c r="Q473" i="1" s="1"/>
  <c r="P474" i="1"/>
  <c r="Q474" i="1" s="1"/>
  <c r="P475" i="1"/>
  <c r="Q475" i="1" s="1"/>
  <c r="P476" i="1"/>
  <c r="Q476" i="1" s="1"/>
  <c r="P477" i="1"/>
  <c r="Q477" i="1" s="1"/>
  <c r="P478" i="1"/>
  <c r="Q478" i="1" s="1"/>
  <c r="P479" i="1"/>
  <c r="Q479" i="1" s="1"/>
  <c r="P480" i="1"/>
  <c r="Q480" i="1" s="1"/>
  <c r="P481" i="1"/>
  <c r="Q481" i="1" s="1"/>
  <c r="P482" i="1"/>
  <c r="Q482" i="1" s="1"/>
  <c r="P483" i="1"/>
  <c r="Q483" i="1" s="1"/>
  <c r="P484" i="1"/>
  <c r="Q484" i="1" s="1"/>
  <c r="P485" i="1"/>
  <c r="Q485" i="1" s="1"/>
  <c r="P486" i="1"/>
  <c r="Q486" i="1" s="1"/>
  <c r="P487" i="1"/>
  <c r="Q487" i="1" s="1"/>
  <c r="P488" i="1"/>
  <c r="Q488" i="1" s="1"/>
  <c r="P489" i="1"/>
  <c r="Q489" i="1" s="1"/>
  <c r="P490" i="1"/>
  <c r="Q490" i="1" s="1"/>
  <c r="P491" i="1"/>
  <c r="Q491" i="1" s="1"/>
  <c r="P492" i="1"/>
  <c r="Q492" i="1" s="1"/>
  <c r="P493" i="1"/>
  <c r="Q493" i="1" s="1"/>
  <c r="P494" i="1"/>
  <c r="Q494" i="1" s="1"/>
  <c r="P495" i="1"/>
  <c r="Q495" i="1" s="1"/>
  <c r="P496" i="1"/>
  <c r="Q496" i="1" s="1"/>
  <c r="P497" i="1"/>
  <c r="Q497" i="1" s="1"/>
  <c r="P498" i="1"/>
  <c r="Q498" i="1" s="1"/>
  <c r="P499" i="1"/>
  <c r="Q499" i="1" s="1"/>
  <c r="P500" i="1"/>
  <c r="Q500" i="1" s="1"/>
  <c r="P501" i="1"/>
  <c r="Q501" i="1" s="1"/>
  <c r="P502" i="1"/>
  <c r="Q502" i="1" s="1"/>
  <c r="P503" i="1"/>
  <c r="Q503" i="1" s="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E1F9BE-A6C8-4C5C-8BAC-DEBA9C261C9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76F479F-F085-4E9B-A72F-C1CAE097F506}" name="WorksheetConnection_Inventory Dataset (version 1).xlsb!Table1" type="102" refreshedVersion="8" minRefreshableVersion="5">
    <extLst>
      <ext xmlns:x15="http://schemas.microsoft.com/office/spreadsheetml/2010/11/main" uri="{DE250136-89BD-433C-8126-D09CA5730AF9}">
        <x15:connection id="Table1">
          <x15:rangePr sourceName="_xlcn.WorksheetConnection_InventoryDatasetversion1.xlsbTable11"/>
        </x15:connection>
      </ext>
    </extLst>
  </connection>
</connections>
</file>

<file path=xl/sharedStrings.xml><?xml version="1.0" encoding="utf-8"?>
<sst xmlns="http://schemas.openxmlformats.org/spreadsheetml/2006/main" count="3247" uniqueCount="98">
  <si>
    <t>Date</t>
  </si>
  <si>
    <t>Product</t>
  </si>
  <si>
    <t>Category</t>
  </si>
  <si>
    <t>Warehouse</t>
  </si>
  <si>
    <t>Supplier</t>
  </si>
  <si>
    <t>Quantity</t>
  </si>
  <si>
    <t>Reorder Level</t>
  </si>
  <si>
    <t>Stock Status</t>
  </si>
  <si>
    <t>Unit Price (₹)</t>
  </si>
  <si>
    <t>Purchase Value (₹)</t>
  </si>
  <si>
    <t>Sales Qty</t>
  </si>
  <si>
    <t>Sales Value (₹)</t>
  </si>
  <si>
    <t>Month</t>
  </si>
  <si>
    <t>Inventory Value</t>
  </si>
  <si>
    <t>Reorder QTY</t>
  </si>
  <si>
    <t>Above Reorder QTY</t>
  </si>
  <si>
    <t>Above Reorder Inventory Value</t>
  </si>
  <si>
    <t>WiFi Router</t>
  </si>
  <si>
    <t>Electronics</t>
  </si>
  <si>
    <t>HSR Hub</t>
  </si>
  <si>
    <t>ABC Distributors</t>
  </si>
  <si>
    <t>In Stock</t>
  </si>
  <si>
    <t>Jan</t>
  </si>
  <si>
    <t>Refrigerator 250L</t>
  </si>
  <si>
    <t>Home Appliances</t>
  </si>
  <si>
    <t>MYS Hub</t>
  </si>
  <si>
    <t>Metro Wholesale</t>
  </si>
  <si>
    <t>Notebook Premium</t>
  </si>
  <si>
    <t>Office Supplies</t>
  </si>
  <si>
    <t>Greenline Trading</t>
  </si>
  <si>
    <t>Vacuum Cleaner</t>
  </si>
  <si>
    <t>Others</t>
  </si>
  <si>
    <t>HYD Hub</t>
  </si>
  <si>
    <t>Global Supplies</t>
  </si>
  <si>
    <t>Laptop Pro 15</t>
  </si>
  <si>
    <t>National Suppliers</t>
  </si>
  <si>
    <t>Air Conditioner 1.5T</t>
  </si>
  <si>
    <t>Prime Traders</t>
  </si>
  <si>
    <t>Smartphone X1</t>
  </si>
  <si>
    <t>Coffee Maker</t>
  </si>
  <si>
    <t>Water Purifier</t>
  </si>
  <si>
    <t>KLR Hub</t>
  </si>
  <si>
    <t>BLR Hub</t>
  </si>
  <si>
    <t>Washing Machine</t>
  </si>
  <si>
    <t>CHN Hub</t>
  </si>
  <si>
    <t>Star Enterprises</t>
  </si>
  <si>
    <t>LED TV 55"</t>
  </si>
  <si>
    <t>Low Stock</t>
  </si>
  <si>
    <t>Paper Pack A4</t>
  </si>
  <si>
    <t>Office Chair</t>
  </si>
  <si>
    <t>Furniture</t>
  </si>
  <si>
    <t>Bluetooth Speaker</t>
  </si>
  <si>
    <t>Feb</t>
  </si>
  <si>
    <t>Desk Lamp</t>
  </si>
  <si>
    <t>Wooden Table</t>
  </si>
  <si>
    <t>Out of Stock</t>
  </si>
  <si>
    <t>Printer All-in-One</t>
  </si>
  <si>
    <t>Microwave Oven</t>
  </si>
  <si>
    <t>Projector HD</t>
  </si>
  <si>
    <t>Mar</t>
  </si>
  <si>
    <t>Apr</t>
  </si>
  <si>
    <t>Bookshelf</t>
  </si>
  <si>
    <t>May</t>
  </si>
  <si>
    <t>Jun</t>
  </si>
  <si>
    <t>Jul</t>
  </si>
  <si>
    <t>Aug</t>
  </si>
  <si>
    <t>Sep</t>
  </si>
  <si>
    <t>Oct</t>
  </si>
  <si>
    <t>Nov</t>
  </si>
  <si>
    <t>Dec</t>
  </si>
  <si>
    <t>Row Labels</t>
  </si>
  <si>
    <t>Sum of Purchase Value (₹)</t>
  </si>
  <si>
    <t>Sum of Quantity</t>
  </si>
  <si>
    <t>Sum of Sales Value (₹)</t>
  </si>
  <si>
    <t>Sum of Inventory Value</t>
  </si>
  <si>
    <t>Count of Product</t>
  </si>
  <si>
    <t>Average of Unit Price (₹)</t>
  </si>
  <si>
    <t>Total Sum of Purchase Value (₹)</t>
  </si>
  <si>
    <t>Total Sum of Quantity</t>
  </si>
  <si>
    <t>Total Sum of Sales Value (₹)</t>
  </si>
  <si>
    <t>Total Sum of Inventory Value</t>
  </si>
  <si>
    <t>Total Count of Product</t>
  </si>
  <si>
    <t>Total Average of Unit Price (₹)</t>
  </si>
  <si>
    <t xml:space="preserve">                    KPI Section</t>
  </si>
  <si>
    <t>Total inv Value</t>
  </si>
  <si>
    <t>Total Quantity</t>
  </si>
  <si>
    <t>Low Stock Count</t>
  </si>
  <si>
    <t>Total Sales Value</t>
  </si>
  <si>
    <t>Total Purchase Val</t>
  </si>
  <si>
    <t>Avg Unit Price</t>
  </si>
  <si>
    <t>Grand Total</t>
  </si>
  <si>
    <t xml:space="preserve">                    Monthly Sales vs Purchase Trend</t>
  </si>
  <si>
    <t xml:space="preserve">                    Inventory value by Category</t>
  </si>
  <si>
    <t>Sum of Above Reorder Inventory Value</t>
  </si>
  <si>
    <t>Sum of Sales Qty</t>
  </si>
  <si>
    <t>Inventory Turnover</t>
  </si>
  <si>
    <t>Back to Dashboard</t>
  </si>
  <si>
    <t>Details for Sum of Above Reorder Inventory Value - Product: Air Conditioner 1.5T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</si>
</sst>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0,&quot;K&quot;"/>
    <numFmt numFmtId="165" formatCode="&quot;₹&quot;0,&quot;K&quot;"/>
    <numFmt numFmtId="166" formatCode="#,##0,&quot;K&quot;"/>
  </numFmts>
  <fonts count="3" x14ac:knownFonts="1">
    <font>
      <sz val="11"/>
      <color theme="1"/>
      <name val="Calibri"/>
      <family val="2"/>
      <scheme val="minor"/>
    </font>
    <font>
      <b/>
      <sz val="11"/>
      <color theme="1"/>
      <name val="Calibri"/>
      <family val="2"/>
      <scheme val="minor"/>
    </font>
    <font>
      <b/>
      <sz val="11"/>
      <color theme="1" tint="4.9989318521683403E-2"/>
      <name val="Calibri"/>
      <family val="2"/>
      <scheme val="minor"/>
    </font>
  </fonts>
  <fills count="4">
    <fill>
      <patternFill patternType="none"/>
    </fill>
    <fill>
      <patternFill patternType="gray125"/>
    </fill>
    <fill>
      <patternFill patternType="solid">
        <fgColor rgb="FF00206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0" borderId="0" xfId="0" applyFont="1"/>
    <xf numFmtId="0" fontId="1" fillId="2" borderId="0" xfId="0" applyFont="1" applyFill="1"/>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0" fontId="2" fillId="3" borderId="0" xfId="0" applyFont="1" applyFill="1"/>
    <xf numFmtId="0" fontId="0" fillId="0" borderId="1" xfId="0" applyBorder="1"/>
    <xf numFmtId="165" fontId="0" fillId="0" borderId="1" xfId="0" applyNumberFormat="1" applyBorder="1"/>
    <xf numFmtId="166" fontId="0" fillId="0" borderId="0" xfId="0" applyNumberFormat="1"/>
    <xf numFmtId="1" fontId="0" fillId="0" borderId="0" xfId="0" applyNumberFormat="1"/>
    <xf numFmtId="166" fontId="0" fillId="0" borderId="1" xfId="0" applyNumberFormat="1" applyBorder="1"/>
    <xf numFmtId="0" fontId="0" fillId="0" borderId="0" xfId="0" applyNumberFormat="1"/>
  </cellXfs>
  <cellStyles count="1">
    <cellStyle name="Normal" xfId="0" builtinId="0"/>
  </cellStyles>
  <dxfs count="56">
    <dxf>
      <numFmt numFmtId="166" formatCode="#,##0,&quot;K&quot;"/>
    </dxf>
    <dxf>
      <numFmt numFmtId="0" formatCode="General"/>
    </dxf>
    <dxf>
      <numFmt numFmtId="164" formatCode="&quot;₹&quot;0.0,&quot;K&quot;"/>
    </dxf>
    <dxf>
      <numFmt numFmtId="164" formatCode="&quot;₹&quot;0.0,&quot;K&quot;"/>
    </dxf>
    <dxf>
      <numFmt numFmtId="164" formatCode="&quot;₹&quot;0.0,&quot;K&quot;"/>
    </dxf>
    <dxf>
      <numFmt numFmtId="166" formatCode="#,##0,&quot;K&quot;"/>
    </dxf>
    <dxf>
      <numFmt numFmtId="166" formatCode="#,##0,&quot;K&quot;"/>
    </dxf>
    <dxf>
      <numFmt numFmtId="0" formatCode="General"/>
    </dxf>
    <dxf>
      <numFmt numFmtId="164" formatCode="&quot;₹&quot;0.0,&quot;K&quot;"/>
    </dxf>
    <dxf>
      <numFmt numFmtId="164" formatCode="&quot;₹&quot;0.0,&quot;K&quot;"/>
    </dxf>
    <dxf>
      <numFmt numFmtId="164" formatCode="&quot;₹&quot;0.0,&quot;K&quot;"/>
    </dxf>
    <dxf>
      <numFmt numFmtId="166" formatCode="#,##0,&quot;K&quot;"/>
    </dxf>
    <dxf>
      <numFmt numFmtId="166" formatCode="#,##0,&quot;K&quot;"/>
    </dxf>
    <dxf>
      <numFmt numFmtId="0" formatCode="General"/>
    </dxf>
    <dxf>
      <numFmt numFmtId="164" formatCode="&quot;₹&quot;0.0,&quot;K&quot;"/>
    </dxf>
    <dxf>
      <numFmt numFmtId="164" formatCode="&quot;₹&quot;0.0,&quot;K&quot;"/>
    </dxf>
    <dxf>
      <numFmt numFmtId="164" formatCode="&quot;₹&quot;0.0,&quot;K&quot;"/>
    </dxf>
    <dxf>
      <numFmt numFmtId="166" formatCode="#,##0,&quot;K&quot;"/>
    </dxf>
    <dxf>
      <numFmt numFmtId="166" formatCode="#,##0,&quot;K&quot;"/>
    </dxf>
    <dxf>
      <numFmt numFmtId="0" formatCode="General"/>
    </dxf>
    <dxf>
      <numFmt numFmtId="164" formatCode="&quot;₹&quot;0.0,&quot;K&quot;"/>
    </dxf>
    <dxf>
      <numFmt numFmtId="164" formatCode="&quot;₹&quot;0.0,&quot;K&quot;"/>
    </dxf>
    <dxf>
      <numFmt numFmtId="164" formatCode="&quot;₹&quot;0.0,&quot;K&quot;"/>
    </dxf>
    <dxf>
      <numFmt numFmtId="166" formatCode="#,##0,&quot;K&quot;"/>
    </dxf>
    <dxf>
      <numFmt numFmtId="166" formatCode="#,##0,&quot;K&quot;"/>
    </dxf>
    <dxf>
      <numFmt numFmtId="0" formatCode="General"/>
    </dxf>
    <dxf>
      <numFmt numFmtId="164" formatCode="&quot;₹&quot;0.0,&quot;K&quot;"/>
    </dxf>
    <dxf>
      <numFmt numFmtId="164" formatCode="&quot;₹&quot;0.0,&quot;K&quot;"/>
    </dxf>
    <dxf>
      <numFmt numFmtId="164" formatCode="&quot;₹&quot;0.0,&quot;K&quot;"/>
    </dxf>
    <dxf>
      <numFmt numFmtId="166" formatCode="#,##0,&quot;K&quot;"/>
    </dxf>
    <dxf>
      <numFmt numFmtId="166" formatCode="#,##0,&quot;K&quot;"/>
    </dxf>
    <dxf>
      <numFmt numFmtId="0" formatCode="General"/>
    </dxf>
    <dxf>
      <numFmt numFmtId="164" formatCode="&quot;₹&quot;0.0,&quot;K&quot;"/>
    </dxf>
    <dxf>
      <numFmt numFmtId="164" formatCode="&quot;₹&quot;0.0,&quot;K&quot;"/>
    </dxf>
    <dxf>
      <numFmt numFmtId="164" formatCode="&quot;₹&quot;0.0,&quot;K&quot;"/>
    </dxf>
    <dxf>
      <numFmt numFmtId="166" formatCode="#,##0,&quot;K&quot;"/>
    </dxf>
    <dxf>
      <numFmt numFmtId="0" formatCode="General"/>
    </dxf>
    <dxf>
      <numFmt numFmtId="0" formatCode="General"/>
    </dxf>
    <dxf>
      <numFmt numFmtId="0" formatCode="General"/>
    </dxf>
    <dxf>
      <numFmt numFmtId="0" formatCode="General"/>
    </dxf>
    <dxf>
      <numFmt numFmtId="0" formatCode="General"/>
    </dxf>
    <dxf>
      <numFmt numFmtId="19" formatCode="dd/mm/yyyy"/>
    </dxf>
    <dxf>
      <font>
        <b/>
        <i val="0"/>
        <strike val="0"/>
        <condense val="0"/>
        <extend val="0"/>
        <outline val="0"/>
        <shadow val="0"/>
        <u val="none"/>
        <vertAlign val="baseline"/>
        <sz val="11"/>
        <color theme="1"/>
        <name val="Calibri"/>
        <family val="2"/>
        <scheme val="minor"/>
      </font>
    </dxf>
    <dxf>
      <numFmt numFmtId="166" formatCode="#,##0,&quot;K&quot;"/>
    </dxf>
    <dxf>
      <numFmt numFmtId="166" formatCode="#,##0,&quot;K&quot;"/>
    </dxf>
    <dxf>
      <numFmt numFmtId="1" formatCode="0"/>
    </dxf>
    <dxf>
      <numFmt numFmtId="166" formatCode="#,##0,&quot;K&quot;"/>
    </dxf>
    <dxf>
      <numFmt numFmtId="166" formatCode="#,##0,&quot;K&quot;"/>
    </dxf>
    <dxf>
      <numFmt numFmtId="1" formatCode="0"/>
    </dxf>
    <dxf>
      <numFmt numFmtId="164" formatCode="&quot;₹&quot;0.0,&quot;K&quot;"/>
    </dxf>
    <dxf>
      <numFmt numFmtId="164" formatCode="&quot;₹&quot;0.0,&quot;K&quot;"/>
    </dxf>
    <dxf>
      <numFmt numFmtId="164" formatCode="&quot;₹&quot;0.0,&quot;K&quot;"/>
    </dxf>
    <dxf>
      <numFmt numFmtId="0" formatCode="General"/>
    </dxf>
    <dxf>
      <numFmt numFmtId="1" formatCode="0"/>
    </dxf>
    <dxf>
      <numFmt numFmtId="0" formatCode="General"/>
    </dxf>
    <dxf>
      <numFmt numFmtId="19" formatCode="dd/mm/yyyy"/>
    </dxf>
  </dxfs>
  <tableStyles count="2" defaultTableStyle="TableStyleMedium2" defaultPivotStyle="PivotStyleLight16">
    <tableStyle name="Slicer Style 1" pivot="0" table="0" count="0" xr9:uid="{83DCCE3F-A8F1-4A0F-B0D4-59A5B75DBEB2}"/>
    <tableStyle name="Slicer Style 2" pivot="0" table="0" count="0" xr9:uid="{730B6798-68AF-4D13-875D-140EA5DE7933}"/>
  </tableStyles>
  <colors>
    <mruColors>
      <color rgb="FFFF9900"/>
      <color rgb="FFFFFFFF"/>
      <color rgb="FFC189F7"/>
      <color rgb="FFF6C3FF"/>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2.xml"/><Relationship Id="rId18" Type="http://schemas.openxmlformats.org/officeDocument/2006/relationships/styles" Target="styles.xml"/><Relationship Id="rId26" Type="http://schemas.openxmlformats.org/officeDocument/2006/relationships/customXml" Target="../customXml/item5.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2.xml"/><Relationship Id="rId12" Type="http://schemas.microsoft.com/office/2007/relationships/slicerCache" Target="slicerCaches/slicerCache1.xml"/><Relationship Id="rId17" Type="http://schemas.openxmlformats.org/officeDocument/2006/relationships/connections" Target="connections.xml"/><Relationship Id="rId25"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3.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customXml" Target="../customXml/item2.xml"/><Relationship Id="rId10" Type="http://schemas.openxmlformats.org/officeDocument/2006/relationships/pivotCacheDefinition" Target="pivotCache/pivotCacheDefinition5.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3.xml"/><Relationship Id="rId22" Type="http://schemas.openxmlformats.org/officeDocument/2006/relationships/customXml" Target="../customXml/item1.xml"/><Relationship Id="rId27" Type="http://schemas.openxmlformats.org/officeDocument/2006/relationships/customXml" Target="../customXml/item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dashboard.xlsx]Pivot Table!PivotTable1</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solidFill>
                  <a:schemeClr val="accent4">
                    <a:lumMod val="75000"/>
                  </a:schemeClr>
                </a:solidFill>
              </a:rPr>
              <a:t>Monthly</a:t>
            </a:r>
            <a:r>
              <a:rPr lang="en-IN" baseline="0">
                <a:solidFill>
                  <a:schemeClr val="accent4">
                    <a:lumMod val="75000"/>
                  </a:schemeClr>
                </a:solidFill>
              </a:rPr>
              <a:t> sales vs Purchase Trend</a:t>
            </a:r>
          </a:p>
        </c:rich>
      </c:tx>
      <c:layout>
        <c:manualLayout>
          <c:xMode val="edge"/>
          <c:yMode val="edge"/>
          <c:x val="2.5195511275376316E-2"/>
          <c:y val="3.992015968063872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77349669094359"/>
          <c:y val="0.24748795608889082"/>
          <c:w val="0.8264992768761048"/>
          <c:h val="0.55505055633159273"/>
        </c:manualLayout>
      </c:layout>
      <c:lineChart>
        <c:grouping val="standard"/>
        <c:varyColors val="0"/>
        <c:ser>
          <c:idx val="0"/>
          <c:order val="0"/>
          <c:tx>
            <c:strRef>
              <c:f>'Pivot Table'!$G$4</c:f>
              <c:strCache>
                <c:ptCount val="1"/>
                <c:pt idx="0">
                  <c:v>Sum of Sales Value (₹)</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Table'!$F$5:$F$17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Table'!$G$5:$G$17</c:f>
              <c:numCache>
                <c:formatCode>#,##0,"K"</c:formatCode>
                <c:ptCount val="12"/>
                <c:pt idx="0">
                  <c:v>2116119.8399999994</c:v>
                </c:pt>
                <c:pt idx="1">
                  <c:v>1838432.8499999999</c:v>
                </c:pt>
                <c:pt idx="2">
                  <c:v>1786169.3399999992</c:v>
                </c:pt>
                <c:pt idx="3">
                  <c:v>1481224.8600000006</c:v>
                </c:pt>
                <c:pt idx="4">
                  <c:v>1972889</c:v>
                </c:pt>
                <c:pt idx="5">
                  <c:v>1076239.6000000001</c:v>
                </c:pt>
                <c:pt idx="6">
                  <c:v>1065434.05</c:v>
                </c:pt>
                <c:pt idx="7">
                  <c:v>1172373.5300000003</c:v>
                </c:pt>
                <c:pt idx="8">
                  <c:v>815085.59000000008</c:v>
                </c:pt>
                <c:pt idx="9">
                  <c:v>1080547.7399999998</c:v>
                </c:pt>
                <c:pt idx="10">
                  <c:v>791245.75999999989</c:v>
                </c:pt>
                <c:pt idx="11">
                  <c:v>760278.65999999992</c:v>
                </c:pt>
              </c:numCache>
            </c:numRef>
          </c:val>
          <c:smooth val="0"/>
          <c:extLst>
            <c:ext xmlns:c16="http://schemas.microsoft.com/office/drawing/2014/chart" uri="{C3380CC4-5D6E-409C-BE32-E72D297353CC}">
              <c16:uniqueId val="{00000000-1F44-443B-9EB8-6DD1FB8EFD63}"/>
            </c:ext>
          </c:extLst>
        </c:ser>
        <c:ser>
          <c:idx val="1"/>
          <c:order val="1"/>
          <c:tx>
            <c:strRef>
              <c:f>'Pivot Table'!$H$4</c:f>
              <c:strCache>
                <c:ptCount val="1"/>
                <c:pt idx="0">
                  <c:v>Sum of Purchase Value (₹)</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Table'!$F$5:$F$17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Table'!$H$5:$H$17</c:f>
              <c:numCache>
                <c:formatCode>#,##0,"K"</c:formatCode>
                <c:ptCount val="12"/>
                <c:pt idx="0">
                  <c:v>1860159.8200000005</c:v>
                </c:pt>
                <c:pt idx="1">
                  <c:v>1654271.1099999996</c:v>
                </c:pt>
                <c:pt idx="2">
                  <c:v>2248859.14</c:v>
                </c:pt>
                <c:pt idx="3">
                  <c:v>2378744.5400000005</c:v>
                </c:pt>
                <c:pt idx="4">
                  <c:v>2193911.2599999998</c:v>
                </c:pt>
                <c:pt idx="5">
                  <c:v>1082662.31</c:v>
                </c:pt>
                <c:pt idx="6">
                  <c:v>964959.44000000006</c:v>
                </c:pt>
                <c:pt idx="7">
                  <c:v>1638269.32</c:v>
                </c:pt>
                <c:pt idx="8">
                  <c:v>1124690.2799999998</c:v>
                </c:pt>
                <c:pt idx="9">
                  <c:v>962003.08000000007</c:v>
                </c:pt>
                <c:pt idx="10">
                  <c:v>818075.33999999985</c:v>
                </c:pt>
                <c:pt idx="11">
                  <c:v>956980.87</c:v>
                </c:pt>
              </c:numCache>
            </c:numRef>
          </c:val>
          <c:smooth val="0"/>
          <c:extLst>
            <c:ext xmlns:c16="http://schemas.microsoft.com/office/drawing/2014/chart" uri="{C3380CC4-5D6E-409C-BE32-E72D297353CC}">
              <c16:uniqueId val="{00000001-1F44-443B-9EB8-6DD1FB8EFD63}"/>
            </c:ext>
          </c:extLst>
        </c:ser>
        <c:dLbls>
          <c:dLblPos val="b"/>
          <c:showLegendKey val="0"/>
          <c:showVal val="1"/>
          <c:showCatName val="0"/>
          <c:showSerName val="0"/>
          <c:showPercent val="0"/>
          <c:showBubbleSize val="0"/>
        </c:dLbls>
        <c:marker val="1"/>
        <c:smooth val="0"/>
        <c:axId val="128251871"/>
        <c:axId val="1996523903"/>
      </c:lineChart>
      <c:catAx>
        <c:axId val="12825187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523903"/>
        <c:crosses val="autoZero"/>
        <c:auto val="1"/>
        <c:lblAlgn val="ctr"/>
        <c:lblOffset val="100"/>
        <c:noMultiLvlLbl val="0"/>
      </c:catAx>
      <c:valAx>
        <c:axId val="1996523903"/>
        <c:scaling>
          <c:orientation val="minMax"/>
        </c:scaling>
        <c:delete val="0"/>
        <c:axPos val="l"/>
        <c:majorGridlines>
          <c:spPr>
            <a:ln w="9525" cap="flat" cmpd="sng" algn="ctr">
              <a:solidFill>
                <a:schemeClr val="bg1">
                  <a:lumMod val="7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251871"/>
        <c:crosses val="autoZero"/>
        <c:crossBetween val="between"/>
      </c:valAx>
      <c:spPr>
        <a:noFill/>
        <a:ln>
          <a:noFill/>
        </a:ln>
        <a:effectLst/>
      </c:spPr>
    </c:plotArea>
    <c:legend>
      <c:legendPos val="b"/>
      <c:layout>
        <c:manualLayout>
          <c:xMode val="edge"/>
          <c:yMode val="edge"/>
          <c:x val="0.05"/>
          <c:y val="0.86526851808194638"/>
          <c:w val="0.9"/>
          <c:h val="8.6827290301287177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[Inventory dashboard.xlsx]Pivot Table!PivotTable3</c:name>
    <c:fmtId val="2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Inventory Value Category</a:t>
            </a:r>
          </a:p>
        </c:rich>
      </c:tx>
      <c:layout>
        <c:manualLayout>
          <c:xMode val="edge"/>
          <c:yMode val="edge"/>
          <c:x val="2.0536052296412005E-2"/>
          <c:y val="3.129888911123970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519569316439636E-2"/>
          <c:y val="0.21943249245765489"/>
          <c:w val="0.94077135800384193"/>
          <c:h val="0.55384493298094561"/>
        </c:manualLayout>
      </c:layout>
      <c:barChart>
        <c:barDir val="col"/>
        <c:grouping val="clustered"/>
        <c:varyColors val="0"/>
        <c:ser>
          <c:idx val="0"/>
          <c:order val="0"/>
          <c:tx>
            <c:strRef>
              <c:f>'Pivot Table'!$K$4</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Table'!$J$5:$J$10</c:f>
              <c:strCache>
                <c:ptCount val="5"/>
                <c:pt idx="0">
                  <c:v>Electronics</c:v>
                </c:pt>
                <c:pt idx="1">
                  <c:v>Home Appliances</c:v>
                </c:pt>
                <c:pt idx="2">
                  <c:v>Office Supplies</c:v>
                </c:pt>
                <c:pt idx="3">
                  <c:v>Others</c:v>
                </c:pt>
                <c:pt idx="4">
                  <c:v>Furniture</c:v>
                </c:pt>
              </c:strCache>
            </c:strRef>
          </c:cat>
          <c:val>
            <c:numRef>
              <c:f>'Pivot Table'!$K$5:$K$10</c:f>
              <c:numCache>
                <c:formatCode>#,##0,"K"</c:formatCode>
                <c:ptCount val="5"/>
                <c:pt idx="0">
                  <c:v>65867500</c:v>
                </c:pt>
                <c:pt idx="1">
                  <c:v>27027800</c:v>
                </c:pt>
                <c:pt idx="2">
                  <c:v>14734410</c:v>
                </c:pt>
                <c:pt idx="3">
                  <c:v>10790500</c:v>
                </c:pt>
                <c:pt idx="4">
                  <c:v>9661000</c:v>
                </c:pt>
              </c:numCache>
            </c:numRef>
          </c:val>
          <c:extLst>
            <c:ext xmlns:c16="http://schemas.microsoft.com/office/drawing/2014/chart" uri="{C3380CC4-5D6E-409C-BE32-E72D297353CC}">
              <c16:uniqueId val="{00000000-AEED-421B-91CF-E789592364E2}"/>
            </c:ext>
          </c:extLst>
        </c:ser>
        <c:dLbls>
          <c:dLblPos val="outEnd"/>
          <c:showLegendKey val="0"/>
          <c:showVal val="1"/>
          <c:showCatName val="0"/>
          <c:showSerName val="0"/>
          <c:showPercent val="0"/>
          <c:showBubbleSize val="0"/>
        </c:dLbls>
        <c:gapWidth val="100"/>
        <c:overlap val="-24"/>
        <c:axId val="102741439"/>
        <c:axId val="54065535"/>
      </c:barChart>
      <c:catAx>
        <c:axId val="1027414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65535"/>
        <c:crosses val="autoZero"/>
        <c:auto val="1"/>
        <c:lblAlgn val="ctr"/>
        <c:lblOffset val="100"/>
        <c:noMultiLvlLbl val="0"/>
      </c:catAx>
      <c:valAx>
        <c:axId val="54065535"/>
        <c:scaling>
          <c:orientation val="minMax"/>
        </c:scaling>
        <c:delete val="1"/>
        <c:axPos val="l"/>
        <c:numFmt formatCode="#,##0,&quot;K&quot;" sourceLinked="1"/>
        <c:majorTickMark val="none"/>
        <c:minorTickMark val="none"/>
        <c:tickLblPos val="nextTo"/>
        <c:crossAx val="102741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400" b="1">
                <a:solidFill>
                  <a:srgbClr val="C00000"/>
                </a:solidFill>
              </a:rPr>
              <a:t>Top</a:t>
            </a:r>
            <a:r>
              <a:rPr lang="en-US" sz="1400" b="1" baseline="0">
                <a:solidFill>
                  <a:srgbClr val="C00000"/>
                </a:solidFill>
              </a:rPr>
              <a:t> 10 Products Above Reorder Level</a:t>
            </a:r>
            <a:endParaRPr lang="en-US" sz="1400" b="1">
              <a:solidFill>
                <a:srgbClr val="C00000"/>
              </a:solidFill>
            </a:endParaRPr>
          </a:p>
        </c:rich>
      </c:tx>
      <c:layout>
        <c:manualLayout>
          <c:xMode val="edge"/>
          <c:yMode val="edge"/>
          <c:x val="2.2256717517431621E-2"/>
          <c:y val="4.320987654320987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777122818475297"/>
          <c:y val="0.22846651113055316"/>
          <c:w val="0.70465797467591573"/>
          <c:h val="0.77129094974239321"/>
        </c:manualLayout>
      </c:layout>
      <c:barChart>
        <c:barDir val="bar"/>
        <c:grouping val="clustered"/>
        <c:varyColors val="0"/>
        <c:ser>
          <c:idx val="0"/>
          <c:order val="0"/>
          <c:tx>
            <c:v>Series1</c:v>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Lit>
              <c:ptCount val="10"/>
              <c:pt idx="0">
                <c:v>1</c:v>
              </c:pt>
              <c:pt idx="1">
                <c:v>2</c:v>
              </c:pt>
              <c:pt idx="2">
                <c:v>3</c:v>
              </c:pt>
              <c:pt idx="3">
                <c:v>4</c:v>
              </c:pt>
              <c:pt idx="4">
                <c:v>5</c:v>
              </c:pt>
              <c:pt idx="5">
                <c:v>6</c:v>
              </c:pt>
              <c:pt idx="6">
                <c:v>7</c:v>
              </c:pt>
              <c:pt idx="7">
                <c:v>8</c:v>
              </c:pt>
              <c:pt idx="8">
                <c:v>9</c:v>
              </c:pt>
              <c:pt idx="9">
                <c:v>10</c:v>
              </c:pt>
            </c:strLit>
          </c:cat>
          <c:val>
            <c:numLit>
              <c:formatCode>General</c:formatCode>
              <c:ptCount val="10"/>
              <c:pt idx="0">
                <c:v>0</c:v>
              </c:pt>
              <c:pt idx="1">
                <c:v>0</c:v>
              </c:pt>
              <c:pt idx="2">
                <c:v>0</c:v>
              </c:pt>
              <c:pt idx="3">
                <c:v>13035219.210000006</c:v>
              </c:pt>
              <c:pt idx="4">
                <c:v>47636</c:v>
              </c:pt>
              <c:pt idx="5">
                <c:v>11719977.089999998</c:v>
              </c:pt>
              <c:pt idx="6">
                <c:v>93684309</c:v>
              </c:pt>
              <c:pt idx="7">
                <c:v>343</c:v>
              </c:pt>
              <c:pt idx="8">
                <c:v>2049.8804664723034</c:v>
              </c:pt>
              <c:pt idx="9">
                <c:v>0</c:v>
              </c:pt>
            </c:numLit>
          </c:val>
          <c:extLst>
            <c:ext xmlns:c16="http://schemas.microsoft.com/office/drawing/2014/chart" uri="{C3380CC4-5D6E-409C-BE32-E72D297353CC}">
              <c16:uniqueId val="{00000000-5156-40A3-8973-3122E40637EB}"/>
            </c:ext>
          </c:extLst>
        </c:ser>
        <c:dLbls>
          <c:showLegendKey val="0"/>
          <c:showVal val="0"/>
          <c:showCatName val="0"/>
          <c:showSerName val="0"/>
          <c:showPercent val="0"/>
          <c:showBubbleSize val="0"/>
        </c:dLbls>
        <c:gapWidth val="40"/>
        <c:axId val="202731839"/>
        <c:axId val="1996517183"/>
      </c:barChart>
      <c:catAx>
        <c:axId val="202731839"/>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96517183"/>
        <c:crosses val="autoZero"/>
        <c:auto val="1"/>
        <c:lblAlgn val="ctr"/>
        <c:lblOffset val="100"/>
        <c:noMultiLvlLbl val="0"/>
      </c:catAx>
      <c:valAx>
        <c:axId val="1996517183"/>
        <c:scaling>
          <c:orientation val="minMax"/>
        </c:scaling>
        <c:delete val="1"/>
        <c:axPos val="b"/>
        <c:numFmt formatCode="General" sourceLinked="1"/>
        <c:majorTickMark val="none"/>
        <c:minorTickMark val="none"/>
        <c:tickLblPos val="nextTo"/>
        <c:crossAx val="20273183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dashboard.xlsx]Pivot Table!PivotTable7</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Inventory Turnover by Category</a:t>
            </a:r>
          </a:p>
        </c:rich>
      </c:tx>
      <c:layout>
        <c:manualLayout>
          <c:xMode val="edge"/>
          <c:yMode val="edge"/>
          <c:x val="3.9618352426976672E-2"/>
          <c:y val="5.6785719464624929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89734491344"/>
          <c:y val="0.16364553878279028"/>
          <c:w val="0.86486351706036746"/>
          <c:h val="0.61095618256051332"/>
        </c:manualLayout>
      </c:layout>
      <c:barChart>
        <c:barDir val="col"/>
        <c:grouping val="clustered"/>
        <c:varyColors val="0"/>
        <c:ser>
          <c:idx val="0"/>
          <c:order val="0"/>
          <c:tx>
            <c:strRef>
              <c:f>'Pivot Table'!$Q$4</c:f>
              <c:strCache>
                <c:ptCount val="1"/>
                <c:pt idx="0">
                  <c:v>Sum of Sales Qty</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Table'!$P$5:$P$10</c:f>
              <c:strCache>
                <c:ptCount val="5"/>
                <c:pt idx="0">
                  <c:v>Electronics</c:v>
                </c:pt>
                <c:pt idx="1">
                  <c:v>Furniture</c:v>
                </c:pt>
                <c:pt idx="2">
                  <c:v>Home Appliances</c:v>
                </c:pt>
                <c:pt idx="3">
                  <c:v>Office Supplies</c:v>
                </c:pt>
                <c:pt idx="4">
                  <c:v>Others</c:v>
                </c:pt>
              </c:strCache>
            </c:strRef>
          </c:cat>
          <c:val>
            <c:numRef>
              <c:f>'Pivot Table'!$Q$5:$Q$10</c:f>
              <c:numCache>
                <c:formatCode>0</c:formatCode>
                <c:ptCount val="5"/>
                <c:pt idx="0">
                  <c:v>1826</c:v>
                </c:pt>
                <c:pt idx="1">
                  <c:v>1216</c:v>
                </c:pt>
                <c:pt idx="2">
                  <c:v>1513</c:v>
                </c:pt>
                <c:pt idx="3">
                  <c:v>2039</c:v>
                </c:pt>
                <c:pt idx="4">
                  <c:v>1397</c:v>
                </c:pt>
              </c:numCache>
            </c:numRef>
          </c:val>
          <c:extLst>
            <c:ext xmlns:c16="http://schemas.microsoft.com/office/drawing/2014/chart" uri="{C3380CC4-5D6E-409C-BE32-E72D297353CC}">
              <c16:uniqueId val="{00000000-B7F9-4F76-BBB8-04507EC55077}"/>
            </c:ext>
          </c:extLst>
        </c:ser>
        <c:ser>
          <c:idx val="1"/>
          <c:order val="1"/>
          <c:tx>
            <c:strRef>
              <c:f>'Pivot Table'!$R$4</c:f>
              <c:strCache>
                <c:ptCount val="1"/>
                <c:pt idx="0">
                  <c:v>Sum of Quantity</c:v>
                </c:pt>
              </c:strCache>
            </c:strRef>
          </c:tx>
          <c:spPr>
            <a:solidFill>
              <a:schemeClr val="accent4">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Table'!$P$5:$P$10</c:f>
              <c:strCache>
                <c:ptCount val="5"/>
                <c:pt idx="0">
                  <c:v>Electronics</c:v>
                </c:pt>
                <c:pt idx="1">
                  <c:v>Furniture</c:v>
                </c:pt>
                <c:pt idx="2">
                  <c:v>Home Appliances</c:v>
                </c:pt>
                <c:pt idx="3">
                  <c:v>Office Supplies</c:v>
                </c:pt>
                <c:pt idx="4">
                  <c:v>Others</c:v>
                </c:pt>
              </c:strCache>
            </c:strRef>
          </c:cat>
          <c:val>
            <c:numRef>
              <c:f>'Pivot Table'!$R$5:$R$10</c:f>
              <c:numCache>
                <c:formatCode>0</c:formatCode>
                <c:ptCount val="5"/>
                <c:pt idx="0">
                  <c:v>15344</c:v>
                </c:pt>
                <c:pt idx="1">
                  <c:v>9247</c:v>
                </c:pt>
                <c:pt idx="2">
                  <c:v>11890</c:v>
                </c:pt>
                <c:pt idx="3">
                  <c:v>16190</c:v>
                </c:pt>
                <c:pt idx="4">
                  <c:v>10457</c:v>
                </c:pt>
              </c:numCache>
            </c:numRef>
          </c:val>
          <c:extLst>
            <c:ext xmlns:c16="http://schemas.microsoft.com/office/drawing/2014/chart" uri="{C3380CC4-5D6E-409C-BE32-E72D297353CC}">
              <c16:uniqueId val="{00000001-B7F9-4F76-BBB8-04507EC55077}"/>
            </c:ext>
          </c:extLst>
        </c:ser>
        <c:dLbls>
          <c:showLegendKey val="0"/>
          <c:showVal val="0"/>
          <c:showCatName val="0"/>
          <c:showSerName val="0"/>
          <c:showPercent val="0"/>
          <c:showBubbleSize val="0"/>
        </c:dLbls>
        <c:gapWidth val="50"/>
        <c:axId val="224136495"/>
        <c:axId val="1996525823"/>
      </c:barChart>
      <c:catAx>
        <c:axId val="22413649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525823"/>
        <c:crosses val="autoZero"/>
        <c:auto val="1"/>
        <c:lblAlgn val="ctr"/>
        <c:lblOffset val="100"/>
        <c:noMultiLvlLbl val="0"/>
      </c:catAx>
      <c:valAx>
        <c:axId val="19965258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136495"/>
        <c:crosses val="autoZero"/>
        <c:crossBetween val="between"/>
      </c:valAx>
      <c:spPr>
        <a:noFill/>
        <a:ln>
          <a:noFill/>
        </a:ln>
        <a:effectLst/>
      </c:spPr>
    </c:plotArea>
    <c:legend>
      <c:legendPos val="t"/>
      <c:layout>
        <c:manualLayout>
          <c:xMode val="edge"/>
          <c:yMode val="edge"/>
          <c:x val="0.2571852580927384"/>
          <c:y val="0.14803258967629046"/>
          <c:w val="0.56345977924633861"/>
          <c:h val="0.103211731561077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dashboard.xlsx]Pivot Table!PivotTable9</c:name>
    <c:fmtId val="19"/>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Stock Status Breakdown</a:t>
            </a:r>
          </a:p>
        </c:rich>
      </c:tx>
      <c:layout>
        <c:manualLayout>
          <c:xMode val="edge"/>
          <c:yMode val="edge"/>
          <c:x val="3.3696281527040871E-2"/>
          <c:y val="1.2516177413307208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1213702364457662"/>
          <c:y val="0.23485951352855083"/>
          <c:w val="0.59289333468509564"/>
          <c:h val="0.63660897226556357"/>
        </c:manualLayout>
      </c:layout>
      <c:doughnutChart>
        <c:varyColors val="1"/>
        <c:ser>
          <c:idx val="0"/>
          <c:order val="0"/>
          <c:tx>
            <c:strRef>
              <c:f>'Pivot Table'!$U$4</c:f>
              <c:strCache>
                <c:ptCount val="1"/>
                <c:pt idx="0">
                  <c:v>Total</c:v>
                </c:pt>
              </c:strCache>
            </c:strRef>
          </c:tx>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020-4026-853E-1EDB33CDF104}"/>
              </c:ext>
            </c:extLst>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020-4026-853E-1EDB33CDF104}"/>
              </c:ext>
            </c:extLst>
          </c:dPt>
          <c:dPt>
            <c:idx val="2"/>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020-4026-853E-1EDB33CDF10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Table'!$T$5:$T$8</c:f>
              <c:strCache>
                <c:ptCount val="3"/>
                <c:pt idx="0">
                  <c:v>In Stock</c:v>
                </c:pt>
                <c:pt idx="1">
                  <c:v>Low Stock</c:v>
                </c:pt>
                <c:pt idx="2">
                  <c:v>Out of Stock</c:v>
                </c:pt>
              </c:strCache>
            </c:strRef>
          </c:cat>
          <c:val>
            <c:numRef>
              <c:f>'Pivot Table'!$U$5:$U$8</c:f>
              <c:numCache>
                <c:formatCode>0</c:formatCode>
                <c:ptCount val="3"/>
                <c:pt idx="0">
                  <c:v>343</c:v>
                </c:pt>
                <c:pt idx="1">
                  <c:v>43</c:v>
                </c:pt>
                <c:pt idx="2">
                  <c:v>114</c:v>
                </c:pt>
              </c:numCache>
            </c:numRef>
          </c:val>
          <c:extLst>
            <c:ext xmlns:c16="http://schemas.microsoft.com/office/drawing/2014/chart" uri="{C3380CC4-5D6E-409C-BE32-E72D297353CC}">
              <c16:uniqueId val="{00000006-5020-4026-853E-1EDB33CDF10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[Inventory dashboard.xlsx]Pivot Table!PivotTable10</c:name>
    <c:fmtId val="3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t>Purchase Value by Supplier</a:t>
            </a:r>
          </a:p>
        </c:rich>
      </c:tx>
      <c:layout>
        <c:manualLayout>
          <c:xMode val="edge"/>
          <c:yMode val="edge"/>
          <c:x val="1.6800358149211277E-2"/>
          <c:y val="3.072196620583717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6350610075851762E-16"/>
              <c:y val="6.14439324116740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918617614269788E-3"/>
              <c:y val="6.144393241167434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943793397062828"/>
          <c:y val="0.25601944918175545"/>
          <c:w val="0.55294551391778368"/>
          <c:h val="0.71818474303615276"/>
        </c:manualLayout>
      </c:layout>
      <c:barChart>
        <c:barDir val="bar"/>
        <c:grouping val="clustered"/>
        <c:varyColors val="0"/>
        <c:ser>
          <c:idx val="0"/>
          <c:order val="0"/>
          <c:tx>
            <c:strRef>
              <c:f>'Pivot Table'!$X$4</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1"/>
            <c:invertIfNegative val="0"/>
            <c:bubble3D val="0"/>
            <c:extLst>
              <c:ext xmlns:c16="http://schemas.microsoft.com/office/drawing/2014/chart" uri="{C3380CC4-5D6E-409C-BE32-E72D297353CC}">
                <c16:uniqueId val="{00000000-E39A-44B9-B536-47A7A506F045}"/>
              </c:ext>
            </c:extLst>
          </c:dPt>
          <c:dPt>
            <c:idx val="4"/>
            <c:invertIfNegative val="0"/>
            <c:bubble3D val="0"/>
            <c:extLst>
              <c:ext xmlns:c16="http://schemas.microsoft.com/office/drawing/2014/chart" uri="{C3380CC4-5D6E-409C-BE32-E72D297353CC}">
                <c16:uniqueId val="{00000001-E39A-44B9-B536-47A7A506F045}"/>
              </c:ext>
            </c:extLst>
          </c:dPt>
          <c:dLbls>
            <c:dLbl>
              <c:idx val="1"/>
              <c:layout>
                <c:manualLayout>
                  <c:x val="-1.6350610075851762E-16"/>
                  <c:y val="6.14439324116740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39A-44B9-B536-47A7A506F045}"/>
                </c:ext>
              </c:extLst>
            </c:dLbl>
            <c:dLbl>
              <c:idx val="4"/>
              <c:layout>
                <c:manualLayout>
                  <c:x val="-8.918617614269788E-3"/>
                  <c:y val="6.144393241167434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39A-44B9-B536-47A7A506F04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Table'!$W$5:$W$12</c:f>
              <c:strCache>
                <c:ptCount val="7"/>
                <c:pt idx="0">
                  <c:v>ABC Distributors</c:v>
                </c:pt>
                <c:pt idx="1">
                  <c:v>Global Supplies</c:v>
                </c:pt>
                <c:pt idx="2">
                  <c:v>Greenline Trading</c:v>
                </c:pt>
                <c:pt idx="3">
                  <c:v>Metro Wholesale</c:v>
                </c:pt>
                <c:pt idx="4">
                  <c:v>National Suppliers</c:v>
                </c:pt>
                <c:pt idx="5">
                  <c:v>Prime Traders</c:v>
                </c:pt>
                <c:pt idx="6">
                  <c:v>Star Enterprises</c:v>
                </c:pt>
              </c:strCache>
            </c:strRef>
          </c:cat>
          <c:val>
            <c:numRef>
              <c:f>'Pivot Table'!$X$5:$X$12</c:f>
              <c:numCache>
                <c:formatCode>#,##0,"K"</c:formatCode>
                <c:ptCount val="7"/>
                <c:pt idx="0">
                  <c:v>2786410.12</c:v>
                </c:pt>
                <c:pt idx="1">
                  <c:v>2936621.88</c:v>
                </c:pt>
                <c:pt idx="2">
                  <c:v>2395811.8399999999</c:v>
                </c:pt>
                <c:pt idx="3">
                  <c:v>2425401.0499999998</c:v>
                </c:pt>
                <c:pt idx="4">
                  <c:v>2920982.76</c:v>
                </c:pt>
                <c:pt idx="5">
                  <c:v>2681603.31</c:v>
                </c:pt>
                <c:pt idx="6">
                  <c:v>1736755.55</c:v>
                </c:pt>
              </c:numCache>
            </c:numRef>
          </c:val>
          <c:extLst>
            <c:ext xmlns:c16="http://schemas.microsoft.com/office/drawing/2014/chart" uri="{C3380CC4-5D6E-409C-BE32-E72D297353CC}">
              <c16:uniqueId val="{00000000-7AAB-4B26-BE9D-2613CFF1FF4B}"/>
            </c:ext>
          </c:extLst>
        </c:ser>
        <c:dLbls>
          <c:showLegendKey val="0"/>
          <c:showVal val="0"/>
          <c:showCatName val="0"/>
          <c:showSerName val="0"/>
          <c:showPercent val="0"/>
          <c:showBubbleSize val="0"/>
        </c:dLbls>
        <c:gapWidth val="115"/>
        <c:overlap val="-20"/>
        <c:axId val="886860239"/>
        <c:axId val="54039615"/>
      </c:barChart>
      <c:catAx>
        <c:axId val="88686023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39615"/>
        <c:crosses val="autoZero"/>
        <c:auto val="1"/>
        <c:lblAlgn val="ctr"/>
        <c:lblOffset val="100"/>
        <c:noMultiLvlLbl val="0"/>
      </c:catAx>
      <c:valAx>
        <c:axId val="54039615"/>
        <c:scaling>
          <c:orientation val="minMax"/>
        </c:scaling>
        <c:delete val="1"/>
        <c:axPos val="b"/>
        <c:numFmt formatCode="#,##0,&quot;K&quot;" sourceLinked="1"/>
        <c:majorTickMark val="none"/>
        <c:minorTickMark val="none"/>
        <c:tickLblPos val="nextTo"/>
        <c:crossAx val="886860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[Inventory dashboard.xlsx]Pivot Table!PivotTable11</c:name>
    <c:fmtId val="34"/>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sz="1200" b="1">
                <a:solidFill>
                  <a:schemeClr val="accent4">
                    <a:lumMod val="50000"/>
                  </a:schemeClr>
                </a:solidFill>
              </a:rPr>
              <a:t>Stock Quantity by Warehouse</a:t>
            </a:r>
          </a:p>
        </c:rich>
      </c:tx>
      <c:layout>
        <c:manualLayout>
          <c:xMode val="edge"/>
          <c:yMode val="edge"/>
          <c:x val="1.3771355503638971E-3"/>
          <c:y val="2.5237730239472282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953527867840049E-2"/>
          <c:y val="0.12772861356932153"/>
          <c:w val="0.98217761241383283"/>
          <c:h val="0.75909553341230562"/>
        </c:manualLayout>
      </c:layout>
      <c:barChart>
        <c:barDir val="col"/>
        <c:grouping val="clustered"/>
        <c:varyColors val="0"/>
        <c:ser>
          <c:idx val="0"/>
          <c:order val="0"/>
          <c:tx>
            <c:strRef>
              <c:f>'Pivot Table'!$AB$4</c:f>
              <c:strCache>
                <c:ptCount val="1"/>
                <c:pt idx="0">
                  <c:v>Total</c:v>
                </c:pt>
              </c:strCache>
            </c:strRef>
          </c:tx>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Table'!$AA$5:$AA$11</c:f>
              <c:strCache>
                <c:ptCount val="6"/>
                <c:pt idx="0">
                  <c:v>HYD Hub</c:v>
                </c:pt>
                <c:pt idx="1">
                  <c:v>HSR Hub</c:v>
                </c:pt>
                <c:pt idx="2">
                  <c:v>MYS Hub</c:v>
                </c:pt>
                <c:pt idx="3">
                  <c:v>KLR Hub</c:v>
                </c:pt>
                <c:pt idx="4">
                  <c:v>BLR Hub</c:v>
                </c:pt>
                <c:pt idx="5">
                  <c:v>CHN Hub</c:v>
                </c:pt>
              </c:strCache>
            </c:strRef>
          </c:cat>
          <c:val>
            <c:numRef>
              <c:f>'Pivot Table'!$AB$5:$AB$11</c:f>
              <c:numCache>
                <c:formatCode>0</c:formatCode>
                <c:ptCount val="6"/>
                <c:pt idx="0">
                  <c:v>20839</c:v>
                </c:pt>
                <c:pt idx="1">
                  <c:v>12405</c:v>
                </c:pt>
                <c:pt idx="2">
                  <c:v>8292</c:v>
                </c:pt>
                <c:pt idx="3">
                  <c:v>8198</c:v>
                </c:pt>
                <c:pt idx="4">
                  <c:v>8121</c:v>
                </c:pt>
                <c:pt idx="5">
                  <c:v>5273</c:v>
                </c:pt>
              </c:numCache>
            </c:numRef>
          </c:val>
          <c:extLst>
            <c:ext xmlns:c16="http://schemas.microsoft.com/office/drawing/2014/chart" uri="{C3380CC4-5D6E-409C-BE32-E72D297353CC}">
              <c16:uniqueId val="{00000000-9FFB-4673-B453-16B536C934C4}"/>
            </c:ext>
          </c:extLst>
        </c:ser>
        <c:dLbls>
          <c:dLblPos val="outEnd"/>
          <c:showLegendKey val="0"/>
          <c:showVal val="1"/>
          <c:showCatName val="0"/>
          <c:showSerName val="0"/>
          <c:showPercent val="0"/>
          <c:showBubbleSize val="0"/>
        </c:dLbls>
        <c:gapWidth val="100"/>
        <c:overlap val="-24"/>
        <c:axId val="886859311"/>
        <c:axId val="797469215"/>
      </c:barChart>
      <c:catAx>
        <c:axId val="886859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50000"/>
                    <a:lumOff val="50000"/>
                  </a:schemeClr>
                </a:solidFill>
                <a:latin typeface="+mn-lt"/>
                <a:ea typeface="+mn-ea"/>
                <a:cs typeface="+mn-cs"/>
              </a:defRPr>
            </a:pPr>
            <a:endParaRPr lang="en-US"/>
          </a:p>
        </c:txPr>
        <c:crossAx val="797469215"/>
        <c:crosses val="autoZero"/>
        <c:auto val="1"/>
        <c:lblAlgn val="ctr"/>
        <c:lblOffset val="100"/>
        <c:noMultiLvlLbl val="0"/>
      </c:catAx>
      <c:valAx>
        <c:axId val="797469215"/>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886859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4">
  <a:schemeClr val="accent4"/>
</cs:colorStyle>
</file>

<file path=xl/charts/colors7.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Pivot Table'!A1"/><Relationship Id="rId13" Type="http://schemas.openxmlformats.org/officeDocument/2006/relationships/image" Target="../media/image10.svg"/><Relationship Id="rId18" Type="http://schemas.openxmlformats.org/officeDocument/2006/relationships/image" Target="../media/image15.png"/><Relationship Id="rId26" Type="http://schemas.openxmlformats.org/officeDocument/2006/relationships/chart" Target="../charts/chart1.xml"/><Relationship Id="rId3" Type="http://schemas.openxmlformats.org/officeDocument/2006/relationships/image" Target="../media/image2.svg"/><Relationship Id="rId21" Type="http://schemas.openxmlformats.org/officeDocument/2006/relationships/image" Target="../media/image18.svg"/><Relationship Id="rId7" Type="http://schemas.openxmlformats.org/officeDocument/2006/relationships/image" Target="../media/image6.svg"/><Relationship Id="rId12" Type="http://schemas.openxmlformats.org/officeDocument/2006/relationships/image" Target="../media/image9.png"/><Relationship Id="rId17" Type="http://schemas.openxmlformats.org/officeDocument/2006/relationships/image" Target="../media/image14.svg"/><Relationship Id="rId25" Type="http://schemas.openxmlformats.org/officeDocument/2006/relationships/image" Target="../media/image22.svg"/><Relationship Id="rId2" Type="http://schemas.openxmlformats.org/officeDocument/2006/relationships/image" Target="../media/image1.png"/><Relationship Id="rId16" Type="http://schemas.openxmlformats.org/officeDocument/2006/relationships/image" Target="../media/image13.png"/><Relationship Id="rId20" Type="http://schemas.openxmlformats.org/officeDocument/2006/relationships/image" Target="../media/image17.png"/><Relationship Id="rId29" Type="http://schemas.openxmlformats.org/officeDocument/2006/relationships/chart" Target="../charts/chart4.xml"/><Relationship Id="rId1" Type="http://schemas.openxmlformats.org/officeDocument/2006/relationships/hyperlink" Target="#Dashboard!A1"/><Relationship Id="rId6" Type="http://schemas.openxmlformats.org/officeDocument/2006/relationships/image" Target="../media/image5.png"/><Relationship Id="rId11" Type="http://schemas.openxmlformats.org/officeDocument/2006/relationships/hyperlink" Target="#'Inventory Data'!A1"/><Relationship Id="rId24" Type="http://schemas.openxmlformats.org/officeDocument/2006/relationships/image" Target="../media/image21.png"/><Relationship Id="rId32" Type="http://schemas.openxmlformats.org/officeDocument/2006/relationships/chart" Target="../charts/chart7.xml"/><Relationship Id="rId5" Type="http://schemas.openxmlformats.org/officeDocument/2006/relationships/image" Target="../media/image4.svg"/><Relationship Id="rId15" Type="http://schemas.openxmlformats.org/officeDocument/2006/relationships/image" Target="../media/image12.svg"/><Relationship Id="rId23" Type="http://schemas.openxmlformats.org/officeDocument/2006/relationships/image" Target="../media/image20.svg"/><Relationship Id="rId28" Type="http://schemas.openxmlformats.org/officeDocument/2006/relationships/chart" Target="../charts/chart3.xml"/><Relationship Id="rId10" Type="http://schemas.openxmlformats.org/officeDocument/2006/relationships/image" Target="../media/image8.svg"/><Relationship Id="rId19" Type="http://schemas.openxmlformats.org/officeDocument/2006/relationships/image" Target="../media/image16.svg"/><Relationship Id="rId31" Type="http://schemas.openxmlformats.org/officeDocument/2006/relationships/chart" Target="../charts/chart6.xml"/><Relationship Id="rId4" Type="http://schemas.openxmlformats.org/officeDocument/2006/relationships/image" Target="../media/image3.png"/><Relationship Id="rId9" Type="http://schemas.openxmlformats.org/officeDocument/2006/relationships/image" Target="../media/image7.png"/><Relationship Id="rId14" Type="http://schemas.openxmlformats.org/officeDocument/2006/relationships/image" Target="../media/image11.png"/><Relationship Id="rId22" Type="http://schemas.openxmlformats.org/officeDocument/2006/relationships/image" Target="../media/image19.png"/><Relationship Id="rId27" Type="http://schemas.openxmlformats.org/officeDocument/2006/relationships/chart" Target="../charts/chart2.xml"/><Relationship Id="rId30" Type="http://schemas.openxmlformats.org/officeDocument/2006/relationships/chart" Target="../charts/chart5.xml"/></Relationships>
</file>

<file path=xl/drawings/_rels/drawing2.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23.png"/></Relationships>
</file>

<file path=xl/drawings/_rels/drawing3.xml.rels><?xml version="1.0" encoding="UTF-8" standalone="yes"?>
<Relationships xmlns="http://schemas.openxmlformats.org/package/2006/relationships"><Relationship Id="rId3" Type="http://schemas.openxmlformats.org/officeDocument/2006/relationships/image" Target="../media/image26.svg"/><Relationship Id="rId2" Type="http://schemas.openxmlformats.org/officeDocument/2006/relationships/image" Target="../media/image25.png"/><Relationship Id="rId1" Type="http://schemas.openxmlformats.org/officeDocument/2006/relationships/hyperlink" Target="#Dashboard!A1"/></Relationships>
</file>

<file path=xl/drawings/_rels/drawing4.xml.rels><?xml version="1.0" encoding="UTF-8" standalone="yes"?>
<Relationships xmlns="http://schemas.openxmlformats.org/package/2006/relationships"><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11906</xdr:rowOff>
    </xdr:from>
    <xdr:to>
      <xdr:col>21</xdr:col>
      <xdr:colOff>428625</xdr:colOff>
      <xdr:row>37</xdr:row>
      <xdr:rowOff>178593</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390BC1D5-99FC-63FF-C65B-5262D0C76AD2}"/>
            </a:ext>
          </a:extLst>
        </xdr:cNvPr>
        <xdr:cNvSpPr/>
      </xdr:nvSpPr>
      <xdr:spPr>
        <a:xfrm>
          <a:off x="0" y="11906"/>
          <a:ext cx="13180219" cy="7215187"/>
        </a:xfrm>
        <a:prstGeom prst="roundRect">
          <a:avLst>
            <a:gd name="adj" fmla="val 0"/>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180973</xdr:colOff>
      <xdr:row>3</xdr:row>
      <xdr:rowOff>23812</xdr:rowOff>
    </xdr:from>
    <xdr:to>
      <xdr:col>21</xdr:col>
      <xdr:colOff>226217</xdr:colOff>
      <xdr:row>35</xdr:row>
      <xdr:rowOff>95250</xdr:rowOff>
    </xdr:to>
    <xdr:sp macro="" textlink="">
      <xdr:nvSpPr>
        <xdr:cNvPr id="3" name="Rectangle: Rounded Corners 2">
          <a:extLst>
            <a:ext uri="{FF2B5EF4-FFF2-40B4-BE49-F238E27FC236}">
              <a16:creationId xmlns:a16="http://schemas.microsoft.com/office/drawing/2014/main" id="{A7A681DB-14C4-7249-CBEE-DC0B3AF0FD2D}"/>
            </a:ext>
          </a:extLst>
        </xdr:cNvPr>
        <xdr:cNvSpPr/>
      </xdr:nvSpPr>
      <xdr:spPr>
        <a:xfrm>
          <a:off x="788192" y="595312"/>
          <a:ext cx="12189619" cy="6167438"/>
        </a:xfrm>
        <a:prstGeom prst="roundRect">
          <a:avLst>
            <a:gd name="adj" fmla="val 2410"/>
          </a:avLst>
        </a:prstGeom>
        <a:solidFill>
          <a:schemeClr val="accent4">
            <a:lumMod val="50000"/>
          </a:schemeClr>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Bodoni MT Black" panose="02070A03080606020203" pitchFamily="18" charset="0"/>
          </a:endParaRPr>
        </a:p>
      </xdr:txBody>
    </xdr:sp>
    <xdr:clientData/>
  </xdr:twoCellAnchor>
  <xdr:twoCellAnchor>
    <xdr:from>
      <xdr:col>2</xdr:col>
      <xdr:colOff>495300</xdr:colOff>
      <xdr:row>0</xdr:row>
      <xdr:rowOff>0</xdr:rowOff>
    </xdr:from>
    <xdr:to>
      <xdr:col>18</xdr:col>
      <xdr:colOff>333375</xdr:colOff>
      <xdr:row>2</xdr:row>
      <xdr:rowOff>142874</xdr:rowOff>
    </xdr:to>
    <xdr:sp macro="" textlink="">
      <xdr:nvSpPr>
        <xdr:cNvPr id="4" name="TextBox 3">
          <a:extLst>
            <a:ext uri="{FF2B5EF4-FFF2-40B4-BE49-F238E27FC236}">
              <a16:creationId xmlns:a16="http://schemas.microsoft.com/office/drawing/2014/main" id="{4513AAE5-5368-19A4-DB74-C4CA6DCAF9F2}"/>
            </a:ext>
          </a:extLst>
        </xdr:cNvPr>
        <xdr:cNvSpPr txBox="1"/>
      </xdr:nvSpPr>
      <xdr:spPr>
        <a:xfrm>
          <a:off x="1714500" y="0"/>
          <a:ext cx="9591675" cy="523874"/>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rgbClr val="FFFFFF"/>
              </a:solidFill>
              <a:latin typeface="+mj-lt"/>
            </a:rPr>
            <a:t>	INVENTORY ANALYTICS DASHBOARD</a:t>
          </a:r>
        </a:p>
      </xdr:txBody>
    </xdr:sp>
    <xdr:clientData/>
  </xdr:twoCellAnchor>
  <xdr:twoCellAnchor editAs="oneCell">
    <xdr:from>
      <xdr:col>3</xdr:col>
      <xdr:colOff>114302</xdr:colOff>
      <xdr:row>0</xdr:row>
      <xdr:rowOff>0</xdr:rowOff>
    </xdr:from>
    <xdr:to>
      <xdr:col>4</xdr:col>
      <xdr:colOff>104776</xdr:colOff>
      <xdr:row>3</xdr:row>
      <xdr:rowOff>28574</xdr:rowOff>
    </xdr:to>
    <xdr:pic>
      <xdr:nvPicPr>
        <xdr:cNvPr id="6" name="Graphic 5" descr="Presentation with bar chart with solid fill">
          <a:extLst>
            <a:ext uri="{FF2B5EF4-FFF2-40B4-BE49-F238E27FC236}">
              <a16:creationId xmlns:a16="http://schemas.microsoft.com/office/drawing/2014/main" id="{AE5135AE-5DD7-5CF6-ED61-556C8A086B03}"/>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943102" y="0"/>
          <a:ext cx="600074" cy="600074"/>
        </a:xfrm>
        <a:prstGeom prst="rect">
          <a:avLst/>
        </a:prstGeom>
      </xdr:spPr>
    </xdr:pic>
    <xdr:clientData/>
  </xdr:twoCellAnchor>
  <xdr:twoCellAnchor editAs="oneCell">
    <xdr:from>
      <xdr:col>16</xdr:col>
      <xdr:colOff>152401</xdr:colOff>
      <xdr:row>0</xdr:row>
      <xdr:rowOff>9525</xdr:rowOff>
    </xdr:from>
    <xdr:to>
      <xdr:col>17</xdr:col>
      <xdr:colOff>102626</xdr:colOff>
      <xdr:row>3</xdr:row>
      <xdr:rowOff>19050</xdr:rowOff>
    </xdr:to>
    <xdr:pic>
      <xdr:nvPicPr>
        <xdr:cNvPr id="8" name="Graphic 7" descr="Arrow circle with solid fill">
          <a:extLst>
            <a:ext uri="{FF2B5EF4-FFF2-40B4-BE49-F238E27FC236}">
              <a16:creationId xmlns:a16="http://schemas.microsoft.com/office/drawing/2014/main" id="{B1E566CD-D3BC-EE49-5A2A-F8C791432FFB}"/>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9906001" y="9525"/>
          <a:ext cx="559825" cy="581025"/>
        </a:xfrm>
        <a:prstGeom prst="rect">
          <a:avLst/>
        </a:prstGeom>
      </xdr:spPr>
    </xdr:pic>
    <xdr:clientData/>
  </xdr:twoCellAnchor>
  <xdr:twoCellAnchor editAs="oneCell">
    <xdr:from>
      <xdr:col>0</xdr:col>
      <xdr:colOff>0</xdr:colOff>
      <xdr:row>4</xdr:row>
      <xdr:rowOff>57150</xdr:rowOff>
    </xdr:from>
    <xdr:to>
      <xdr:col>1</xdr:col>
      <xdr:colOff>171450</xdr:colOff>
      <xdr:row>8</xdr:row>
      <xdr:rowOff>76200</xdr:rowOff>
    </xdr:to>
    <xdr:pic>
      <xdr:nvPicPr>
        <xdr:cNvPr id="10" name="Graphic 9" descr="House with solid fill">
          <a:hlinkClick xmlns:r="http://schemas.openxmlformats.org/officeDocument/2006/relationships" r:id="rId1"/>
          <a:extLst>
            <a:ext uri="{FF2B5EF4-FFF2-40B4-BE49-F238E27FC236}">
              <a16:creationId xmlns:a16="http://schemas.microsoft.com/office/drawing/2014/main" id="{6216A356-CB92-175D-666B-8C23A94D3CB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0" y="819150"/>
          <a:ext cx="781050" cy="781050"/>
        </a:xfrm>
        <a:prstGeom prst="rect">
          <a:avLst/>
        </a:prstGeom>
      </xdr:spPr>
    </xdr:pic>
    <xdr:clientData/>
  </xdr:twoCellAnchor>
  <xdr:twoCellAnchor editAs="oneCell">
    <xdr:from>
      <xdr:col>0</xdr:col>
      <xdr:colOff>0</xdr:colOff>
      <xdr:row>12</xdr:row>
      <xdr:rowOff>47625</xdr:rowOff>
    </xdr:from>
    <xdr:to>
      <xdr:col>1</xdr:col>
      <xdr:colOff>209550</xdr:colOff>
      <xdr:row>16</xdr:row>
      <xdr:rowOff>104775</xdr:rowOff>
    </xdr:to>
    <xdr:pic>
      <xdr:nvPicPr>
        <xdr:cNvPr id="12" name="Graphic 11" descr="Bar graph with upward trend with solid fill">
          <a:hlinkClick xmlns:r="http://schemas.openxmlformats.org/officeDocument/2006/relationships" r:id="rId8"/>
          <a:extLst>
            <a:ext uri="{FF2B5EF4-FFF2-40B4-BE49-F238E27FC236}">
              <a16:creationId xmlns:a16="http://schemas.microsoft.com/office/drawing/2014/main" id="{C2B46463-3BBA-3E7E-846B-6546A65BCBA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0" y="2333625"/>
          <a:ext cx="819150" cy="819150"/>
        </a:xfrm>
        <a:prstGeom prst="rect">
          <a:avLst/>
        </a:prstGeom>
      </xdr:spPr>
    </xdr:pic>
    <xdr:clientData/>
  </xdr:twoCellAnchor>
  <xdr:twoCellAnchor editAs="oneCell">
    <xdr:from>
      <xdr:col>0</xdr:col>
      <xdr:colOff>0</xdr:colOff>
      <xdr:row>20</xdr:row>
      <xdr:rowOff>85725</xdr:rowOff>
    </xdr:from>
    <xdr:to>
      <xdr:col>1</xdr:col>
      <xdr:colOff>200025</xdr:colOff>
      <xdr:row>24</xdr:row>
      <xdr:rowOff>133350</xdr:rowOff>
    </xdr:to>
    <xdr:pic>
      <xdr:nvPicPr>
        <xdr:cNvPr id="14" name="Graphic 13" descr="Database with solid fill">
          <a:hlinkClick xmlns:r="http://schemas.openxmlformats.org/officeDocument/2006/relationships" r:id="rId11"/>
          <a:extLst>
            <a:ext uri="{FF2B5EF4-FFF2-40B4-BE49-F238E27FC236}">
              <a16:creationId xmlns:a16="http://schemas.microsoft.com/office/drawing/2014/main" id="{6647C6D7-44C3-6A58-A664-C24E299B6DA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0" y="3895725"/>
          <a:ext cx="809625" cy="809625"/>
        </a:xfrm>
        <a:prstGeom prst="rect">
          <a:avLst/>
        </a:prstGeom>
      </xdr:spPr>
    </xdr:pic>
    <xdr:clientData/>
  </xdr:twoCellAnchor>
  <xdr:twoCellAnchor>
    <xdr:from>
      <xdr:col>1</xdr:col>
      <xdr:colOff>309562</xdr:colOff>
      <xdr:row>3</xdr:row>
      <xdr:rowOff>59531</xdr:rowOff>
    </xdr:from>
    <xdr:to>
      <xdr:col>7</xdr:col>
      <xdr:colOff>257174</xdr:colOff>
      <xdr:row>8</xdr:row>
      <xdr:rowOff>23812</xdr:rowOff>
    </xdr:to>
    <xdr:sp macro="" textlink="">
      <xdr:nvSpPr>
        <xdr:cNvPr id="15" name="Rectangle: Rounded Corners 14">
          <a:extLst>
            <a:ext uri="{FF2B5EF4-FFF2-40B4-BE49-F238E27FC236}">
              <a16:creationId xmlns:a16="http://schemas.microsoft.com/office/drawing/2014/main" id="{FA7106DF-CB45-DF89-495D-AE9388C09FA7}"/>
            </a:ext>
          </a:extLst>
        </xdr:cNvPr>
        <xdr:cNvSpPr/>
      </xdr:nvSpPr>
      <xdr:spPr>
        <a:xfrm>
          <a:off x="916781" y="631031"/>
          <a:ext cx="3590924" cy="916781"/>
        </a:xfrm>
        <a:prstGeom prst="round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314327</xdr:colOff>
      <xdr:row>3</xdr:row>
      <xdr:rowOff>47624</xdr:rowOff>
    </xdr:from>
    <xdr:to>
      <xdr:col>10</xdr:col>
      <xdr:colOff>357188</xdr:colOff>
      <xdr:row>8</xdr:row>
      <xdr:rowOff>23811</xdr:rowOff>
    </xdr:to>
    <xdr:sp macro="" textlink="">
      <xdr:nvSpPr>
        <xdr:cNvPr id="16" name="Rectangle: Rounded Corners 15">
          <a:extLst>
            <a:ext uri="{FF2B5EF4-FFF2-40B4-BE49-F238E27FC236}">
              <a16:creationId xmlns:a16="http://schemas.microsoft.com/office/drawing/2014/main" id="{A633E9BE-D339-4B40-B3C7-F875D9FEDA5D}"/>
            </a:ext>
          </a:extLst>
        </xdr:cNvPr>
        <xdr:cNvSpPr/>
      </xdr:nvSpPr>
      <xdr:spPr>
        <a:xfrm>
          <a:off x="4564858" y="619124"/>
          <a:ext cx="1864518" cy="928687"/>
        </a:xfrm>
        <a:prstGeom prst="round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380999</xdr:colOff>
      <xdr:row>3</xdr:row>
      <xdr:rowOff>59532</xdr:rowOff>
    </xdr:from>
    <xdr:to>
      <xdr:col>17</xdr:col>
      <xdr:colOff>114299</xdr:colOff>
      <xdr:row>8</xdr:row>
      <xdr:rowOff>11906</xdr:rowOff>
    </xdr:to>
    <xdr:sp macro="" textlink="">
      <xdr:nvSpPr>
        <xdr:cNvPr id="17" name="Rectangle: Rounded Corners 16">
          <a:extLst>
            <a:ext uri="{FF2B5EF4-FFF2-40B4-BE49-F238E27FC236}">
              <a16:creationId xmlns:a16="http://schemas.microsoft.com/office/drawing/2014/main" id="{0E9E6306-D8F2-4E0D-B3F3-3CEC36223889}"/>
            </a:ext>
          </a:extLst>
        </xdr:cNvPr>
        <xdr:cNvSpPr/>
      </xdr:nvSpPr>
      <xdr:spPr>
        <a:xfrm>
          <a:off x="6453187" y="631032"/>
          <a:ext cx="3983831" cy="904874"/>
        </a:xfrm>
        <a:prstGeom prst="round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130968</xdr:colOff>
      <xdr:row>3</xdr:row>
      <xdr:rowOff>95251</xdr:rowOff>
    </xdr:from>
    <xdr:to>
      <xdr:col>21</xdr:col>
      <xdr:colOff>190500</xdr:colOff>
      <xdr:row>8</xdr:row>
      <xdr:rowOff>0</xdr:rowOff>
    </xdr:to>
    <xdr:sp macro="" textlink="">
      <xdr:nvSpPr>
        <xdr:cNvPr id="18" name="Rectangle: Rounded Corners 17">
          <a:extLst>
            <a:ext uri="{FF2B5EF4-FFF2-40B4-BE49-F238E27FC236}">
              <a16:creationId xmlns:a16="http://schemas.microsoft.com/office/drawing/2014/main" id="{6C9FC472-89B4-4366-A8B3-C1DC949E1986}"/>
            </a:ext>
          </a:extLst>
        </xdr:cNvPr>
        <xdr:cNvSpPr/>
      </xdr:nvSpPr>
      <xdr:spPr>
        <a:xfrm>
          <a:off x="10453687" y="666751"/>
          <a:ext cx="2488407" cy="857249"/>
        </a:xfrm>
        <a:prstGeom prst="round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354806</xdr:colOff>
      <xdr:row>8</xdr:row>
      <xdr:rowOff>40481</xdr:rowOff>
    </xdr:from>
    <xdr:to>
      <xdr:col>7</xdr:col>
      <xdr:colOff>440531</xdr:colOff>
      <xdr:row>12</xdr:row>
      <xdr:rowOff>50006</xdr:rowOff>
    </xdr:to>
    <xdr:sp macro="" textlink="">
      <xdr:nvSpPr>
        <xdr:cNvPr id="19" name="Rectangle: Rounded Corners 18">
          <a:extLst>
            <a:ext uri="{FF2B5EF4-FFF2-40B4-BE49-F238E27FC236}">
              <a16:creationId xmlns:a16="http://schemas.microsoft.com/office/drawing/2014/main" id="{E7D794C9-C02F-49C4-8E62-C22A579CAF19}"/>
            </a:ext>
          </a:extLst>
        </xdr:cNvPr>
        <xdr:cNvSpPr/>
      </xdr:nvSpPr>
      <xdr:spPr>
        <a:xfrm>
          <a:off x="2783681" y="1564481"/>
          <a:ext cx="1907381" cy="771525"/>
        </a:xfrm>
        <a:prstGeom prst="round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276226</xdr:colOff>
      <xdr:row>8</xdr:row>
      <xdr:rowOff>76201</xdr:rowOff>
    </xdr:from>
    <xdr:to>
      <xdr:col>4</xdr:col>
      <xdr:colOff>333376</xdr:colOff>
      <xdr:row>12</xdr:row>
      <xdr:rowOff>47625</xdr:rowOff>
    </xdr:to>
    <xdr:sp macro="" textlink="">
      <xdr:nvSpPr>
        <xdr:cNvPr id="20" name="Rectangle: Rounded Corners 19">
          <a:extLst>
            <a:ext uri="{FF2B5EF4-FFF2-40B4-BE49-F238E27FC236}">
              <a16:creationId xmlns:a16="http://schemas.microsoft.com/office/drawing/2014/main" id="{B09C4964-EB2A-47D6-BD13-66D480F4EF53}"/>
            </a:ext>
          </a:extLst>
        </xdr:cNvPr>
        <xdr:cNvSpPr/>
      </xdr:nvSpPr>
      <xdr:spPr>
        <a:xfrm>
          <a:off x="883445" y="1600201"/>
          <a:ext cx="1878806" cy="733424"/>
        </a:xfrm>
        <a:prstGeom prst="round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466725</xdr:colOff>
      <xdr:row>8</xdr:row>
      <xdr:rowOff>38100</xdr:rowOff>
    </xdr:from>
    <xdr:to>
      <xdr:col>10</xdr:col>
      <xdr:colOff>533400</xdr:colOff>
      <xdr:row>12</xdr:row>
      <xdr:rowOff>28575</xdr:rowOff>
    </xdr:to>
    <xdr:sp macro="" textlink="">
      <xdr:nvSpPr>
        <xdr:cNvPr id="21" name="Rectangle: Rounded Corners 20">
          <a:extLst>
            <a:ext uri="{FF2B5EF4-FFF2-40B4-BE49-F238E27FC236}">
              <a16:creationId xmlns:a16="http://schemas.microsoft.com/office/drawing/2014/main" id="{0E6CF186-5682-456E-8E92-FB73E2F6F11E}"/>
            </a:ext>
          </a:extLst>
        </xdr:cNvPr>
        <xdr:cNvSpPr/>
      </xdr:nvSpPr>
      <xdr:spPr>
        <a:xfrm>
          <a:off x="4717256" y="1562100"/>
          <a:ext cx="1888332" cy="752475"/>
        </a:xfrm>
        <a:prstGeom prst="round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542924</xdr:colOff>
      <xdr:row>8</xdr:row>
      <xdr:rowOff>38101</xdr:rowOff>
    </xdr:from>
    <xdr:to>
      <xdr:col>14</xdr:col>
      <xdr:colOff>219075</xdr:colOff>
      <xdr:row>12</xdr:row>
      <xdr:rowOff>28575</xdr:rowOff>
    </xdr:to>
    <xdr:sp macro="" textlink="">
      <xdr:nvSpPr>
        <xdr:cNvPr id="22" name="Rectangle: Rounded Corners 21">
          <a:extLst>
            <a:ext uri="{FF2B5EF4-FFF2-40B4-BE49-F238E27FC236}">
              <a16:creationId xmlns:a16="http://schemas.microsoft.com/office/drawing/2014/main" id="{545F3BC8-4E7A-46D9-808B-9796E8C055A7}"/>
            </a:ext>
          </a:extLst>
        </xdr:cNvPr>
        <xdr:cNvSpPr/>
      </xdr:nvSpPr>
      <xdr:spPr>
        <a:xfrm>
          <a:off x="6615112" y="1562101"/>
          <a:ext cx="2105026" cy="752474"/>
        </a:xfrm>
        <a:prstGeom prst="round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238124</xdr:colOff>
      <xdr:row>8</xdr:row>
      <xdr:rowOff>33338</xdr:rowOff>
    </xdr:from>
    <xdr:to>
      <xdr:col>17</xdr:col>
      <xdr:colOff>485774</xdr:colOff>
      <xdr:row>12</xdr:row>
      <xdr:rowOff>23813</xdr:rowOff>
    </xdr:to>
    <xdr:sp macro="" textlink="">
      <xdr:nvSpPr>
        <xdr:cNvPr id="23" name="Rectangle: Rounded Corners 22">
          <a:extLst>
            <a:ext uri="{FF2B5EF4-FFF2-40B4-BE49-F238E27FC236}">
              <a16:creationId xmlns:a16="http://schemas.microsoft.com/office/drawing/2014/main" id="{5F27CE4E-9105-4412-A480-4B3D110F64AC}"/>
            </a:ext>
          </a:extLst>
        </xdr:cNvPr>
        <xdr:cNvSpPr/>
      </xdr:nvSpPr>
      <xdr:spPr>
        <a:xfrm>
          <a:off x="8739187" y="1557338"/>
          <a:ext cx="2069306" cy="752475"/>
        </a:xfrm>
        <a:prstGeom prst="round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495300</xdr:colOff>
      <xdr:row>8</xdr:row>
      <xdr:rowOff>42862</xdr:rowOff>
    </xdr:from>
    <xdr:to>
      <xdr:col>21</xdr:col>
      <xdr:colOff>114299</xdr:colOff>
      <xdr:row>12</xdr:row>
      <xdr:rowOff>38100</xdr:rowOff>
    </xdr:to>
    <xdr:sp macro="" textlink="">
      <xdr:nvSpPr>
        <xdr:cNvPr id="24" name="Rectangle: Rounded Corners 23">
          <a:extLst>
            <a:ext uri="{FF2B5EF4-FFF2-40B4-BE49-F238E27FC236}">
              <a16:creationId xmlns:a16="http://schemas.microsoft.com/office/drawing/2014/main" id="{040F3145-2F45-4FB1-96BD-0A9B40019473}"/>
            </a:ext>
          </a:extLst>
        </xdr:cNvPr>
        <xdr:cNvSpPr/>
      </xdr:nvSpPr>
      <xdr:spPr>
        <a:xfrm>
          <a:off x="10858500" y="1566862"/>
          <a:ext cx="2057399" cy="757238"/>
        </a:xfrm>
        <a:prstGeom prst="round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271461</xdr:colOff>
      <xdr:row>12</xdr:row>
      <xdr:rowOff>54769</xdr:rowOff>
    </xdr:from>
    <xdr:to>
      <xdr:col>7</xdr:col>
      <xdr:colOff>414337</xdr:colOff>
      <xdr:row>23</xdr:row>
      <xdr:rowOff>83344</xdr:rowOff>
    </xdr:to>
    <xdr:sp macro="" textlink="">
      <xdr:nvSpPr>
        <xdr:cNvPr id="25" name="Rectangle: Rounded Corners 24">
          <a:extLst>
            <a:ext uri="{FF2B5EF4-FFF2-40B4-BE49-F238E27FC236}">
              <a16:creationId xmlns:a16="http://schemas.microsoft.com/office/drawing/2014/main" id="{EB840738-7A6F-47E6-BE86-89D6BA476DC8}"/>
            </a:ext>
          </a:extLst>
        </xdr:cNvPr>
        <xdr:cNvSpPr/>
      </xdr:nvSpPr>
      <xdr:spPr>
        <a:xfrm>
          <a:off x="878680" y="2340769"/>
          <a:ext cx="3786188" cy="2124075"/>
        </a:xfrm>
        <a:prstGeom prst="roundRect">
          <a:avLst>
            <a:gd name="adj" fmla="val 5001"/>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469106</xdr:colOff>
      <xdr:row>12</xdr:row>
      <xdr:rowOff>42862</xdr:rowOff>
    </xdr:from>
    <xdr:to>
      <xdr:col>14</xdr:col>
      <xdr:colOff>30956</xdr:colOff>
      <xdr:row>23</xdr:row>
      <xdr:rowOff>71437</xdr:rowOff>
    </xdr:to>
    <xdr:sp macro="" textlink="">
      <xdr:nvSpPr>
        <xdr:cNvPr id="26" name="Rectangle: Rounded Corners 25">
          <a:extLst>
            <a:ext uri="{FF2B5EF4-FFF2-40B4-BE49-F238E27FC236}">
              <a16:creationId xmlns:a16="http://schemas.microsoft.com/office/drawing/2014/main" id="{5E716BA8-59BF-4D12-9C9F-22A1F531432F}"/>
            </a:ext>
          </a:extLst>
        </xdr:cNvPr>
        <xdr:cNvSpPr/>
      </xdr:nvSpPr>
      <xdr:spPr>
        <a:xfrm>
          <a:off x="4719637" y="2328862"/>
          <a:ext cx="3812382" cy="2124075"/>
        </a:xfrm>
        <a:prstGeom prst="roundRect">
          <a:avLst>
            <a:gd name="adj" fmla="val 5001"/>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66675</xdr:colOff>
      <xdr:row>12</xdr:row>
      <xdr:rowOff>42864</xdr:rowOff>
    </xdr:from>
    <xdr:to>
      <xdr:col>21</xdr:col>
      <xdr:colOff>178593</xdr:colOff>
      <xdr:row>23</xdr:row>
      <xdr:rowOff>61913</xdr:rowOff>
    </xdr:to>
    <xdr:sp macro="" textlink="">
      <xdr:nvSpPr>
        <xdr:cNvPr id="27" name="Rectangle: Rounded Corners 26">
          <a:extLst>
            <a:ext uri="{FF2B5EF4-FFF2-40B4-BE49-F238E27FC236}">
              <a16:creationId xmlns:a16="http://schemas.microsoft.com/office/drawing/2014/main" id="{D84E0066-82FC-4239-B521-AF2AB69FEB53}"/>
            </a:ext>
          </a:extLst>
        </xdr:cNvPr>
        <xdr:cNvSpPr/>
      </xdr:nvSpPr>
      <xdr:spPr>
        <a:xfrm>
          <a:off x="8567738" y="2328864"/>
          <a:ext cx="4362449" cy="2114549"/>
        </a:xfrm>
        <a:prstGeom prst="roundRect">
          <a:avLst>
            <a:gd name="adj" fmla="val 5001"/>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280986</xdr:colOff>
      <xdr:row>23</xdr:row>
      <xdr:rowOff>121444</xdr:rowOff>
    </xdr:from>
    <xdr:to>
      <xdr:col>7</xdr:col>
      <xdr:colOff>519111</xdr:colOff>
      <xdr:row>35</xdr:row>
      <xdr:rowOff>7144</xdr:rowOff>
    </xdr:to>
    <xdr:sp macro="" textlink="">
      <xdr:nvSpPr>
        <xdr:cNvPr id="28" name="Rectangle: Rounded Corners 27">
          <a:extLst>
            <a:ext uri="{FF2B5EF4-FFF2-40B4-BE49-F238E27FC236}">
              <a16:creationId xmlns:a16="http://schemas.microsoft.com/office/drawing/2014/main" id="{A05CCCCF-D479-4A58-A216-52F982553DFA}"/>
            </a:ext>
          </a:extLst>
        </xdr:cNvPr>
        <xdr:cNvSpPr/>
      </xdr:nvSpPr>
      <xdr:spPr>
        <a:xfrm>
          <a:off x="888205" y="4502944"/>
          <a:ext cx="3881437" cy="2171700"/>
        </a:xfrm>
        <a:prstGeom prst="roundRect">
          <a:avLst>
            <a:gd name="adj" fmla="val 5001"/>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573882</xdr:colOff>
      <xdr:row>23</xdr:row>
      <xdr:rowOff>104776</xdr:rowOff>
    </xdr:from>
    <xdr:to>
      <xdr:col>11</xdr:col>
      <xdr:colOff>469107</xdr:colOff>
      <xdr:row>35</xdr:row>
      <xdr:rowOff>19050</xdr:rowOff>
    </xdr:to>
    <xdr:sp macro="" textlink="">
      <xdr:nvSpPr>
        <xdr:cNvPr id="29" name="Rectangle: Rounded Corners 28">
          <a:extLst>
            <a:ext uri="{FF2B5EF4-FFF2-40B4-BE49-F238E27FC236}">
              <a16:creationId xmlns:a16="http://schemas.microsoft.com/office/drawing/2014/main" id="{2C84209C-989C-4390-B9DB-F0594B3368CA}"/>
            </a:ext>
          </a:extLst>
        </xdr:cNvPr>
        <xdr:cNvSpPr/>
      </xdr:nvSpPr>
      <xdr:spPr>
        <a:xfrm>
          <a:off x="4824413" y="4486276"/>
          <a:ext cx="2324100" cy="2200274"/>
        </a:xfrm>
        <a:prstGeom prst="roundRect">
          <a:avLst>
            <a:gd name="adj" fmla="val 5001"/>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523876</xdr:colOff>
      <xdr:row>23</xdr:row>
      <xdr:rowOff>83344</xdr:rowOff>
    </xdr:from>
    <xdr:to>
      <xdr:col>16</xdr:col>
      <xdr:colOff>492920</xdr:colOff>
      <xdr:row>35</xdr:row>
      <xdr:rowOff>11906</xdr:rowOff>
    </xdr:to>
    <xdr:sp macro="" textlink="">
      <xdr:nvSpPr>
        <xdr:cNvPr id="30" name="Rectangle: Rounded Corners 29">
          <a:extLst>
            <a:ext uri="{FF2B5EF4-FFF2-40B4-BE49-F238E27FC236}">
              <a16:creationId xmlns:a16="http://schemas.microsoft.com/office/drawing/2014/main" id="{B352E144-EE23-4ACB-B697-C942EC5B51A4}"/>
            </a:ext>
          </a:extLst>
        </xdr:cNvPr>
        <xdr:cNvSpPr/>
      </xdr:nvSpPr>
      <xdr:spPr>
        <a:xfrm>
          <a:off x="7203282" y="4464844"/>
          <a:ext cx="3005138" cy="2214562"/>
        </a:xfrm>
        <a:prstGeom prst="roundRect">
          <a:avLst>
            <a:gd name="adj" fmla="val 5001"/>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554832</xdr:colOff>
      <xdr:row>23</xdr:row>
      <xdr:rowOff>102394</xdr:rowOff>
    </xdr:from>
    <xdr:to>
      <xdr:col>21</xdr:col>
      <xdr:colOff>183357</xdr:colOff>
      <xdr:row>35</xdr:row>
      <xdr:rowOff>35719</xdr:rowOff>
    </xdr:to>
    <xdr:sp macro="" textlink="">
      <xdr:nvSpPr>
        <xdr:cNvPr id="31" name="Rectangle: Rounded Corners 30">
          <a:extLst>
            <a:ext uri="{FF2B5EF4-FFF2-40B4-BE49-F238E27FC236}">
              <a16:creationId xmlns:a16="http://schemas.microsoft.com/office/drawing/2014/main" id="{BE8E71F1-E688-4A8D-98BC-F9AE0554468D}"/>
            </a:ext>
          </a:extLst>
        </xdr:cNvPr>
        <xdr:cNvSpPr/>
      </xdr:nvSpPr>
      <xdr:spPr>
        <a:xfrm>
          <a:off x="10270332" y="4483894"/>
          <a:ext cx="2664619" cy="2219325"/>
        </a:xfrm>
        <a:prstGeom prst="roundRect">
          <a:avLst>
            <a:gd name="adj" fmla="val 5001"/>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333374</xdr:colOff>
      <xdr:row>8</xdr:row>
      <xdr:rowOff>109538</xdr:rowOff>
    </xdr:from>
    <xdr:to>
      <xdr:col>4</xdr:col>
      <xdr:colOff>190499</xdr:colOff>
      <xdr:row>10</xdr:row>
      <xdr:rowOff>14288</xdr:rowOff>
    </xdr:to>
    <xdr:sp macro="" textlink="">
      <xdr:nvSpPr>
        <xdr:cNvPr id="32" name="TextBox 31">
          <a:extLst>
            <a:ext uri="{FF2B5EF4-FFF2-40B4-BE49-F238E27FC236}">
              <a16:creationId xmlns:a16="http://schemas.microsoft.com/office/drawing/2014/main" id="{E5978A53-151B-C1B3-C20A-63AC5E0B56E8}"/>
            </a:ext>
          </a:extLst>
        </xdr:cNvPr>
        <xdr:cNvSpPr txBox="1"/>
      </xdr:nvSpPr>
      <xdr:spPr>
        <a:xfrm>
          <a:off x="940593" y="1633538"/>
          <a:ext cx="1678781" cy="2857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ysClr val="windowText" lastClr="000000"/>
              </a:solidFill>
            </a:rPr>
            <a:t>TOTAL</a:t>
          </a:r>
          <a:r>
            <a:rPr lang="en-IN" sz="1400" b="1" baseline="0">
              <a:solidFill>
                <a:sysClr val="windowText" lastClr="000000"/>
              </a:solidFill>
            </a:rPr>
            <a:t> IVN VALUE</a:t>
          </a:r>
          <a:endParaRPr lang="en-IN" sz="1400" b="1">
            <a:solidFill>
              <a:sysClr val="windowText" lastClr="000000"/>
            </a:solidFill>
          </a:endParaRPr>
        </a:p>
      </xdr:txBody>
    </xdr:sp>
    <xdr:clientData/>
  </xdr:twoCellAnchor>
  <xdr:twoCellAnchor>
    <xdr:from>
      <xdr:col>4</xdr:col>
      <xdr:colOff>504825</xdr:colOff>
      <xdr:row>8</xdr:row>
      <xdr:rowOff>85725</xdr:rowOff>
    </xdr:from>
    <xdr:to>
      <xdr:col>7</xdr:col>
      <xdr:colOff>257175</xdr:colOff>
      <xdr:row>10</xdr:row>
      <xdr:rowOff>95250</xdr:rowOff>
    </xdr:to>
    <xdr:sp macro="" textlink="">
      <xdr:nvSpPr>
        <xdr:cNvPr id="40" name="TextBox 39">
          <a:extLst>
            <a:ext uri="{FF2B5EF4-FFF2-40B4-BE49-F238E27FC236}">
              <a16:creationId xmlns:a16="http://schemas.microsoft.com/office/drawing/2014/main" id="{40896FC8-A1BA-9514-77A9-1B4C216CEB35}"/>
            </a:ext>
          </a:extLst>
        </xdr:cNvPr>
        <xdr:cNvSpPr txBox="1"/>
      </xdr:nvSpPr>
      <xdr:spPr>
        <a:xfrm>
          <a:off x="2933700" y="1609725"/>
          <a:ext cx="1574006"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TOTAL</a:t>
          </a:r>
          <a:r>
            <a:rPr lang="en-IN" sz="1400" b="1" baseline="0"/>
            <a:t> STOCK QTY</a:t>
          </a:r>
          <a:endParaRPr lang="en-IN" sz="1400" b="1"/>
        </a:p>
      </xdr:txBody>
    </xdr:sp>
    <xdr:clientData/>
  </xdr:twoCellAnchor>
  <xdr:twoCellAnchor>
    <xdr:from>
      <xdr:col>8</xdr:col>
      <xdr:colOff>38100</xdr:colOff>
      <xdr:row>8</xdr:row>
      <xdr:rowOff>100012</xdr:rowOff>
    </xdr:from>
    <xdr:to>
      <xdr:col>10</xdr:col>
      <xdr:colOff>381000</xdr:colOff>
      <xdr:row>10</xdr:row>
      <xdr:rowOff>61912</xdr:rowOff>
    </xdr:to>
    <xdr:sp macro="" textlink="">
      <xdr:nvSpPr>
        <xdr:cNvPr id="44" name="TextBox 43">
          <a:extLst>
            <a:ext uri="{FF2B5EF4-FFF2-40B4-BE49-F238E27FC236}">
              <a16:creationId xmlns:a16="http://schemas.microsoft.com/office/drawing/2014/main" id="{05B27602-00D4-D37C-6EA2-CFA103950EEB}"/>
            </a:ext>
          </a:extLst>
        </xdr:cNvPr>
        <xdr:cNvSpPr txBox="1"/>
      </xdr:nvSpPr>
      <xdr:spPr>
        <a:xfrm>
          <a:off x="4895850" y="1624012"/>
          <a:ext cx="1557338"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LOW SOTCK ITEMS</a:t>
          </a:r>
        </a:p>
      </xdr:txBody>
    </xdr:sp>
    <xdr:clientData/>
  </xdr:twoCellAnchor>
  <xdr:twoCellAnchor>
    <xdr:from>
      <xdr:col>11</xdr:col>
      <xdr:colOff>100013</xdr:colOff>
      <xdr:row>8</xdr:row>
      <xdr:rowOff>66675</xdr:rowOff>
    </xdr:from>
    <xdr:to>
      <xdr:col>14</xdr:col>
      <xdr:colOff>52388</xdr:colOff>
      <xdr:row>10</xdr:row>
      <xdr:rowOff>28575</xdr:rowOff>
    </xdr:to>
    <xdr:sp macro="" textlink="">
      <xdr:nvSpPr>
        <xdr:cNvPr id="45" name="TextBox 44">
          <a:extLst>
            <a:ext uri="{FF2B5EF4-FFF2-40B4-BE49-F238E27FC236}">
              <a16:creationId xmlns:a16="http://schemas.microsoft.com/office/drawing/2014/main" id="{978A12DB-2673-0D77-7BA3-FEAEACF52C2A}"/>
            </a:ext>
          </a:extLst>
        </xdr:cNvPr>
        <xdr:cNvSpPr txBox="1"/>
      </xdr:nvSpPr>
      <xdr:spPr>
        <a:xfrm>
          <a:off x="6779419" y="1590675"/>
          <a:ext cx="1774032"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TOTAL</a:t>
          </a:r>
          <a:r>
            <a:rPr lang="en-IN" sz="1400" b="1" baseline="0"/>
            <a:t> SALES VAL</a:t>
          </a:r>
          <a:endParaRPr lang="en-IN" sz="1400" b="1"/>
        </a:p>
      </xdr:txBody>
    </xdr:sp>
    <xdr:clientData/>
  </xdr:twoCellAnchor>
  <xdr:twoCellAnchor>
    <xdr:from>
      <xdr:col>14</xdr:col>
      <xdr:colOff>445294</xdr:colOff>
      <xdr:row>8</xdr:row>
      <xdr:rowOff>76200</xdr:rowOff>
    </xdr:from>
    <xdr:to>
      <xdr:col>17</xdr:col>
      <xdr:colOff>273844</xdr:colOff>
      <xdr:row>10</xdr:row>
      <xdr:rowOff>123825</xdr:rowOff>
    </xdr:to>
    <xdr:sp macro="" textlink="">
      <xdr:nvSpPr>
        <xdr:cNvPr id="46" name="TextBox 45">
          <a:extLst>
            <a:ext uri="{FF2B5EF4-FFF2-40B4-BE49-F238E27FC236}">
              <a16:creationId xmlns:a16="http://schemas.microsoft.com/office/drawing/2014/main" id="{000680F6-1800-B289-4BFD-88B5D21FA9DE}"/>
            </a:ext>
          </a:extLst>
        </xdr:cNvPr>
        <xdr:cNvSpPr txBox="1"/>
      </xdr:nvSpPr>
      <xdr:spPr>
        <a:xfrm>
          <a:off x="8946357" y="1600200"/>
          <a:ext cx="1650206"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TOTAL PURCHASE VAL</a:t>
          </a:r>
        </a:p>
      </xdr:txBody>
    </xdr:sp>
    <xdr:clientData/>
  </xdr:twoCellAnchor>
  <xdr:twoCellAnchor>
    <xdr:from>
      <xdr:col>18</xdr:col>
      <xdr:colOff>33337</xdr:colOff>
      <xdr:row>8</xdr:row>
      <xdr:rowOff>19050</xdr:rowOff>
    </xdr:from>
    <xdr:to>
      <xdr:col>20</xdr:col>
      <xdr:colOff>478631</xdr:colOff>
      <xdr:row>9</xdr:row>
      <xdr:rowOff>180975</xdr:rowOff>
    </xdr:to>
    <xdr:sp macro="" textlink="">
      <xdr:nvSpPr>
        <xdr:cNvPr id="47" name="TextBox 46">
          <a:extLst>
            <a:ext uri="{FF2B5EF4-FFF2-40B4-BE49-F238E27FC236}">
              <a16:creationId xmlns:a16="http://schemas.microsoft.com/office/drawing/2014/main" id="{2E2CDF27-6ADB-5D04-F44C-680DF65C4FDB}"/>
            </a:ext>
          </a:extLst>
        </xdr:cNvPr>
        <xdr:cNvSpPr txBox="1"/>
      </xdr:nvSpPr>
      <xdr:spPr>
        <a:xfrm>
          <a:off x="10963275" y="1543050"/>
          <a:ext cx="1659731"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AVG UNIT PRICE</a:t>
          </a:r>
        </a:p>
      </xdr:txBody>
    </xdr:sp>
    <xdr:clientData/>
  </xdr:twoCellAnchor>
  <xdr:twoCellAnchor editAs="oneCell">
    <xdr:from>
      <xdr:col>1</xdr:col>
      <xdr:colOff>404813</xdr:colOff>
      <xdr:row>9</xdr:row>
      <xdr:rowOff>188118</xdr:rowOff>
    </xdr:from>
    <xdr:to>
      <xdr:col>2</xdr:col>
      <xdr:colOff>252413</xdr:colOff>
      <xdr:row>12</xdr:row>
      <xdr:rowOff>73818</xdr:rowOff>
    </xdr:to>
    <xdr:pic>
      <xdr:nvPicPr>
        <xdr:cNvPr id="49" name="Graphic 48" descr="Checklist with solid fill">
          <a:extLst>
            <a:ext uri="{FF2B5EF4-FFF2-40B4-BE49-F238E27FC236}">
              <a16:creationId xmlns:a16="http://schemas.microsoft.com/office/drawing/2014/main" id="{23412BF4-F201-4DCB-3EF7-FE16D6A0D8FC}"/>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012032" y="1902618"/>
          <a:ext cx="454819" cy="457200"/>
        </a:xfrm>
        <a:prstGeom prst="rect">
          <a:avLst/>
        </a:prstGeom>
      </xdr:spPr>
    </xdr:pic>
    <xdr:clientData/>
  </xdr:twoCellAnchor>
  <xdr:twoCellAnchor editAs="oneCell">
    <xdr:from>
      <xdr:col>14</xdr:col>
      <xdr:colOff>214295</xdr:colOff>
      <xdr:row>9</xdr:row>
      <xdr:rowOff>69038</xdr:rowOff>
    </xdr:from>
    <xdr:to>
      <xdr:col>15</xdr:col>
      <xdr:colOff>140495</xdr:colOff>
      <xdr:row>12</xdr:row>
      <xdr:rowOff>33338</xdr:rowOff>
    </xdr:to>
    <xdr:pic>
      <xdr:nvPicPr>
        <xdr:cNvPr id="51" name="Graphic 50" descr="Shopping cart with solid fill">
          <a:extLst>
            <a:ext uri="{FF2B5EF4-FFF2-40B4-BE49-F238E27FC236}">
              <a16:creationId xmlns:a16="http://schemas.microsoft.com/office/drawing/2014/main" id="{AF6F2EEC-2701-1DE1-9B4D-B2FA16DF8FD9}"/>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8715358" y="1783538"/>
          <a:ext cx="533418" cy="535800"/>
        </a:xfrm>
        <a:prstGeom prst="rect">
          <a:avLst/>
        </a:prstGeom>
      </xdr:spPr>
    </xdr:pic>
    <xdr:clientData/>
  </xdr:twoCellAnchor>
  <xdr:twoCellAnchor editAs="oneCell">
    <xdr:from>
      <xdr:col>8</xdr:col>
      <xdr:colOff>57149</xdr:colOff>
      <xdr:row>9</xdr:row>
      <xdr:rowOff>111919</xdr:rowOff>
    </xdr:from>
    <xdr:to>
      <xdr:col>8</xdr:col>
      <xdr:colOff>550068</xdr:colOff>
      <xdr:row>12</xdr:row>
      <xdr:rowOff>35719</xdr:rowOff>
    </xdr:to>
    <xdr:pic>
      <xdr:nvPicPr>
        <xdr:cNvPr id="53" name="Graphic 52" descr="Downward trend graph with solid fill">
          <a:extLst>
            <a:ext uri="{FF2B5EF4-FFF2-40B4-BE49-F238E27FC236}">
              <a16:creationId xmlns:a16="http://schemas.microsoft.com/office/drawing/2014/main" id="{50ADB12E-EFED-575B-B138-69417C35899B}"/>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4914899" y="1826419"/>
          <a:ext cx="492919" cy="495300"/>
        </a:xfrm>
        <a:prstGeom prst="rect">
          <a:avLst/>
        </a:prstGeom>
      </xdr:spPr>
    </xdr:pic>
    <xdr:clientData/>
  </xdr:twoCellAnchor>
  <xdr:twoCellAnchor editAs="oneCell">
    <xdr:from>
      <xdr:col>18</xdr:col>
      <xdr:colOff>76200</xdr:colOff>
      <xdr:row>9</xdr:row>
      <xdr:rowOff>28574</xdr:rowOff>
    </xdr:from>
    <xdr:to>
      <xdr:col>19</xdr:col>
      <xdr:colOff>97633</xdr:colOff>
      <xdr:row>12</xdr:row>
      <xdr:rowOff>88107</xdr:rowOff>
    </xdr:to>
    <xdr:pic>
      <xdr:nvPicPr>
        <xdr:cNvPr id="55" name="Graphic 54" descr="Money with solid fill">
          <a:extLst>
            <a:ext uri="{FF2B5EF4-FFF2-40B4-BE49-F238E27FC236}">
              <a16:creationId xmlns:a16="http://schemas.microsoft.com/office/drawing/2014/main" id="{CDC61EFF-31D6-45C5-AE44-072AF9A27A8A}"/>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1049000" y="1743074"/>
          <a:ext cx="631033" cy="631033"/>
        </a:xfrm>
        <a:prstGeom prst="rect">
          <a:avLst/>
        </a:prstGeom>
      </xdr:spPr>
    </xdr:pic>
    <xdr:clientData/>
  </xdr:twoCellAnchor>
  <xdr:twoCellAnchor editAs="oneCell">
    <xdr:from>
      <xdr:col>4</xdr:col>
      <xdr:colOff>385744</xdr:colOff>
      <xdr:row>9</xdr:row>
      <xdr:rowOff>121425</xdr:rowOff>
    </xdr:from>
    <xdr:to>
      <xdr:col>5</xdr:col>
      <xdr:colOff>302419</xdr:colOff>
      <xdr:row>12</xdr:row>
      <xdr:rowOff>76200</xdr:rowOff>
    </xdr:to>
    <xdr:pic>
      <xdr:nvPicPr>
        <xdr:cNvPr id="57" name="Graphic 56" descr="Connections with solid fill">
          <a:extLst>
            <a:ext uri="{FF2B5EF4-FFF2-40B4-BE49-F238E27FC236}">
              <a16:creationId xmlns:a16="http://schemas.microsoft.com/office/drawing/2014/main" id="{CD20A0B9-C411-E7A2-39A9-0BF572634BC5}"/>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2814619" y="1835925"/>
          <a:ext cx="523894" cy="526275"/>
        </a:xfrm>
        <a:prstGeom prst="rect">
          <a:avLst/>
        </a:prstGeom>
      </xdr:spPr>
    </xdr:pic>
    <xdr:clientData/>
  </xdr:twoCellAnchor>
  <xdr:twoCellAnchor editAs="oneCell">
    <xdr:from>
      <xdr:col>11</xdr:col>
      <xdr:colOff>16670</xdr:colOff>
      <xdr:row>9</xdr:row>
      <xdr:rowOff>92869</xdr:rowOff>
    </xdr:from>
    <xdr:to>
      <xdr:col>11</xdr:col>
      <xdr:colOff>576263</xdr:colOff>
      <xdr:row>12</xdr:row>
      <xdr:rowOff>83344</xdr:rowOff>
    </xdr:to>
    <xdr:pic>
      <xdr:nvPicPr>
        <xdr:cNvPr id="59" name="Graphic 58" descr="Business Growth with solid fill">
          <a:extLst>
            <a:ext uri="{FF2B5EF4-FFF2-40B4-BE49-F238E27FC236}">
              <a16:creationId xmlns:a16="http://schemas.microsoft.com/office/drawing/2014/main" id="{31926DF7-4AB0-C533-D063-57959F2DA002}"/>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6696076" y="1807369"/>
          <a:ext cx="559593" cy="561975"/>
        </a:xfrm>
        <a:prstGeom prst="rect">
          <a:avLst/>
        </a:prstGeom>
      </xdr:spPr>
    </xdr:pic>
    <xdr:clientData/>
  </xdr:twoCellAnchor>
  <xdr:twoCellAnchor>
    <xdr:from>
      <xdr:col>2</xdr:col>
      <xdr:colOff>376237</xdr:colOff>
      <xdr:row>10</xdr:row>
      <xdr:rowOff>45243</xdr:rowOff>
    </xdr:from>
    <xdr:to>
      <xdr:col>4</xdr:col>
      <xdr:colOff>338137</xdr:colOff>
      <xdr:row>11</xdr:row>
      <xdr:rowOff>140493</xdr:rowOff>
    </xdr:to>
    <xdr:sp macro="" textlink="'Pivot Table'!D4">
      <xdr:nvSpPr>
        <xdr:cNvPr id="61" name="TextBox 60">
          <a:extLst>
            <a:ext uri="{FF2B5EF4-FFF2-40B4-BE49-F238E27FC236}">
              <a16:creationId xmlns:a16="http://schemas.microsoft.com/office/drawing/2014/main" id="{45DB5DBB-8396-F628-851A-745F545A8A83}"/>
            </a:ext>
          </a:extLst>
        </xdr:cNvPr>
        <xdr:cNvSpPr txBox="1"/>
      </xdr:nvSpPr>
      <xdr:spPr>
        <a:xfrm>
          <a:off x="1590675" y="1950243"/>
          <a:ext cx="1176337"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E3E06DF-B264-4C2E-835D-A96596F160F9}" type="TxLink">
            <a:rPr lang="en-US" sz="1800" b="1" i="0" u="none" strike="noStrike">
              <a:solidFill>
                <a:srgbClr val="000000"/>
              </a:solidFill>
              <a:latin typeface="Calibri"/>
              <a:cs typeface="Calibri"/>
            </a:rPr>
            <a:pPr/>
            <a:t>1,28,081K</a:t>
          </a:fld>
          <a:endParaRPr lang="en-IN" sz="1800" b="1"/>
        </a:p>
      </xdr:txBody>
    </xdr:sp>
    <xdr:clientData/>
  </xdr:twoCellAnchor>
  <xdr:twoCellAnchor>
    <xdr:from>
      <xdr:col>5</xdr:col>
      <xdr:colOff>552450</xdr:colOff>
      <xdr:row>10</xdr:row>
      <xdr:rowOff>33337</xdr:rowOff>
    </xdr:from>
    <xdr:to>
      <xdr:col>7</xdr:col>
      <xdr:colOff>76200</xdr:colOff>
      <xdr:row>12</xdr:row>
      <xdr:rowOff>11906</xdr:rowOff>
    </xdr:to>
    <xdr:sp macro="" textlink="'Pivot Table'!D5">
      <xdr:nvSpPr>
        <xdr:cNvPr id="65" name="TextBox 64">
          <a:extLst>
            <a:ext uri="{FF2B5EF4-FFF2-40B4-BE49-F238E27FC236}">
              <a16:creationId xmlns:a16="http://schemas.microsoft.com/office/drawing/2014/main" id="{E1F307B2-7CA2-6D08-1E87-77A131E5C69B}"/>
            </a:ext>
          </a:extLst>
        </xdr:cNvPr>
        <xdr:cNvSpPr txBox="1"/>
      </xdr:nvSpPr>
      <xdr:spPr>
        <a:xfrm>
          <a:off x="3588544" y="1938337"/>
          <a:ext cx="738187" cy="3595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44DB98D-BA71-4B76-848A-419B1D1893F1}" type="TxLink">
            <a:rPr lang="en-US" sz="1800" b="1" i="0" u="none" strike="noStrike">
              <a:solidFill>
                <a:srgbClr val="000000"/>
              </a:solidFill>
              <a:latin typeface="Calibri"/>
              <a:ea typeface="+mn-ea"/>
              <a:cs typeface="Calibri"/>
            </a:rPr>
            <a:pPr marL="0" indent="0"/>
            <a:t>63128</a:t>
          </a:fld>
          <a:endParaRPr lang="en-IN" sz="1800" b="1" i="0" u="none" strike="noStrike">
            <a:solidFill>
              <a:srgbClr val="000000"/>
            </a:solidFill>
            <a:latin typeface="Calibri"/>
            <a:ea typeface="+mn-ea"/>
            <a:cs typeface="Calibri"/>
          </a:endParaRPr>
        </a:p>
      </xdr:txBody>
    </xdr:sp>
    <xdr:clientData/>
  </xdr:twoCellAnchor>
  <xdr:twoCellAnchor>
    <xdr:from>
      <xdr:col>9</xdr:col>
      <xdr:colOff>497681</xdr:colOff>
      <xdr:row>10</xdr:row>
      <xdr:rowOff>33338</xdr:rowOff>
    </xdr:from>
    <xdr:to>
      <xdr:col>11</xdr:col>
      <xdr:colOff>335757</xdr:colOff>
      <xdr:row>11</xdr:row>
      <xdr:rowOff>147638</xdr:rowOff>
    </xdr:to>
    <xdr:sp macro="" textlink="'Pivot Table'!D6">
      <xdr:nvSpPr>
        <xdr:cNvPr id="66" name="TextBox 65">
          <a:extLst>
            <a:ext uri="{FF2B5EF4-FFF2-40B4-BE49-F238E27FC236}">
              <a16:creationId xmlns:a16="http://schemas.microsoft.com/office/drawing/2014/main" id="{4DECA57A-A7FE-3544-514E-8976E63ADF69}"/>
            </a:ext>
          </a:extLst>
        </xdr:cNvPr>
        <xdr:cNvSpPr txBox="1"/>
      </xdr:nvSpPr>
      <xdr:spPr>
        <a:xfrm>
          <a:off x="5962650" y="1938338"/>
          <a:ext cx="1052513"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717AE1D-D31B-4685-BFF9-A78F85E1EA9E}" type="TxLink">
            <a:rPr lang="en-US" sz="1800" b="1" i="0" u="none" strike="noStrike">
              <a:solidFill>
                <a:srgbClr val="000000"/>
              </a:solidFill>
              <a:latin typeface="Calibri"/>
              <a:ea typeface="+mn-ea"/>
              <a:cs typeface="Calibri"/>
            </a:rPr>
            <a:pPr marL="0" indent="0"/>
            <a:t>43</a:t>
          </a:fld>
          <a:endParaRPr lang="en-IN" sz="1800" b="1" i="0" u="none" strike="noStrike">
            <a:solidFill>
              <a:srgbClr val="000000"/>
            </a:solidFill>
            <a:latin typeface="Calibri"/>
            <a:ea typeface="+mn-ea"/>
            <a:cs typeface="Calibri"/>
          </a:endParaRPr>
        </a:p>
      </xdr:txBody>
    </xdr:sp>
    <xdr:clientData/>
  </xdr:twoCellAnchor>
  <xdr:twoCellAnchor>
    <xdr:from>
      <xdr:col>12</xdr:col>
      <xdr:colOff>261937</xdr:colOff>
      <xdr:row>10</xdr:row>
      <xdr:rowOff>38100</xdr:rowOff>
    </xdr:from>
    <xdr:to>
      <xdr:col>14</xdr:col>
      <xdr:colOff>433387</xdr:colOff>
      <xdr:row>12</xdr:row>
      <xdr:rowOff>133350</xdr:rowOff>
    </xdr:to>
    <xdr:sp macro="" textlink="'Pivot Table'!D7">
      <xdr:nvSpPr>
        <xdr:cNvPr id="67" name="TextBox 66">
          <a:extLst>
            <a:ext uri="{FF2B5EF4-FFF2-40B4-BE49-F238E27FC236}">
              <a16:creationId xmlns:a16="http://schemas.microsoft.com/office/drawing/2014/main" id="{3C530ED1-C8EC-12DA-2CA6-E648123CA505}"/>
            </a:ext>
          </a:extLst>
        </xdr:cNvPr>
        <xdr:cNvSpPr txBox="1"/>
      </xdr:nvSpPr>
      <xdr:spPr>
        <a:xfrm>
          <a:off x="7548562" y="1943100"/>
          <a:ext cx="1385888"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99D9118-2AE1-4DF0-B04B-ED211F00BFF5}" type="TxLink">
            <a:rPr lang="en-US" sz="1800" b="1" i="0" u="none" strike="noStrike">
              <a:solidFill>
                <a:srgbClr val="000000"/>
              </a:solidFill>
              <a:latin typeface="Calibri"/>
              <a:ea typeface="+mn-ea"/>
              <a:cs typeface="Calibri"/>
            </a:rPr>
            <a:pPr marL="0" indent="0"/>
            <a:t>15,956K</a:t>
          </a:fld>
          <a:endParaRPr lang="en-IN" sz="1800" b="1" i="0" u="none" strike="noStrike">
            <a:solidFill>
              <a:srgbClr val="000000"/>
            </a:solidFill>
            <a:latin typeface="Calibri"/>
            <a:ea typeface="+mn-ea"/>
            <a:cs typeface="Calibri"/>
          </a:endParaRPr>
        </a:p>
      </xdr:txBody>
    </xdr:sp>
    <xdr:clientData/>
  </xdr:twoCellAnchor>
  <xdr:twoCellAnchor>
    <xdr:from>
      <xdr:col>15</xdr:col>
      <xdr:colOff>347662</xdr:colOff>
      <xdr:row>10</xdr:row>
      <xdr:rowOff>28575</xdr:rowOff>
    </xdr:from>
    <xdr:to>
      <xdr:col>17</xdr:col>
      <xdr:colOff>242887</xdr:colOff>
      <xdr:row>12</xdr:row>
      <xdr:rowOff>95250</xdr:rowOff>
    </xdr:to>
    <xdr:sp macro="" textlink="'Pivot Table'!D8">
      <xdr:nvSpPr>
        <xdr:cNvPr id="68" name="TextBox 67">
          <a:extLst>
            <a:ext uri="{FF2B5EF4-FFF2-40B4-BE49-F238E27FC236}">
              <a16:creationId xmlns:a16="http://schemas.microsoft.com/office/drawing/2014/main" id="{72CBD6B0-622C-4519-D7F5-0B84799C0FD6}"/>
            </a:ext>
          </a:extLst>
        </xdr:cNvPr>
        <xdr:cNvSpPr txBox="1"/>
      </xdr:nvSpPr>
      <xdr:spPr>
        <a:xfrm>
          <a:off x="9455943" y="1933575"/>
          <a:ext cx="1109663"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485439B-CA15-4444-9135-B9F24C9BEF35}" type="TxLink">
            <a:rPr lang="en-US" sz="1800" b="1" i="0" u="none" strike="noStrike">
              <a:solidFill>
                <a:srgbClr val="000000"/>
              </a:solidFill>
              <a:latin typeface="Calibri"/>
              <a:ea typeface="+mn-ea"/>
              <a:cs typeface="Calibri"/>
            </a:rPr>
            <a:pPr marL="0" indent="0"/>
            <a:t>17,884K</a:t>
          </a:fld>
          <a:endParaRPr lang="en-IN" sz="1800" b="1" i="0" u="none" strike="noStrike">
            <a:solidFill>
              <a:srgbClr val="000000"/>
            </a:solidFill>
            <a:latin typeface="Calibri"/>
            <a:ea typeface="+mn-ea"/>
            <a:cs typeface="Calibri"/>
          </a:endParaRPr>
        </a:p>
      </xdr:txBody>
    </xdr:sp>
    <xdr:clientData/>
  </xdr:twoCellAnchor>
  <xdr:twoCellAnchor>
    <xdr:from>
      <xdr:col>19</xdr:col>
      <xdr:colOff>354806</xdr:colOff>
      <xdr:row>9</xdr:row>
      <xdr:rowOff>183356</xdr:rowOff>
    </xdr:from>
    <xdr:to>
      <xdr:col>21</xdr:col>
      <xdr:colOff>154781</xdr:colOff>
      <xdr:row>11</xdr:row>
      <xdr:rowOff>135731</xdr:rowOff>
    </xdr:to>
    <xdr:sp macro="" textlink="'Pivot Table'!D9">
      <xdr:nvSpPr>
        <xdr:cNvPr id="69" name="TextBox 68">
          <a:extLst>
            <a:ext uri="{FF2B5EF4-FFF2-40B4-BE49-F238E27FC236}">
              <a16:creationId xmlns:a16="http://schemas.microsoft.com/office/drawing/2014/main" id="{981CD20A-7B74-0279-5BB0-6464A58D9766}"/>
            </a:ext>
          </a:extLst>
        </xdr:cNvPr>
        <xdr:cNvSpPr txBox="1"/>
      </xdr:nvSpPr>
      <xdr:spPr>
        <a:xfrm>
          <a:off x="11937206" y="1897856"/>
          <a:ext cx="101917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7E49337-3D68-4118-A871-16F0607C99D3}" type="TxLink">
            <a:rPr lang="en-US" sz="1800" b="1" i="0" u="none" strike="noStrike">
              <a:solidFill>
                <a:srgbClr val="000000"/>
              </a:solidFill>
              <a:latin typeface="Calibri"/>
              <a:ea typeface="+mn-ea"/>
              <a:cs typeface="Calibri"/>
            </a:rPr>
            <a:pPr marL="0" indent="0"/>
            <a:t>₹2K</a:t>
          </a:fld>
          <a:endParaRPr lang="en-IN" sz="1800" b="1" i="0" u="none" strike="noStrike">
            <a:solidFill>
              <a:srgbClr val="000000"/>
            </a:solidFill>
            <a:latin typeface="Calibri"/>
            <a:ea typeface="+mn-ea"/>
            <a:cs typeface="Calibri"/>
          </a:endParaRPr>
        </a:p>
      </xdr:txBody>
    </xdr:sp>
    <xdr:clientData/>
  </xdr:twoCellAnchor>
  <xdr:twoCellAnchor>
    <xdr:from>
      <xdr:col>1</xdr:col>
      <xdr:colOff>352425</xdr:colOff>
      <xdr:row>12</xdr:row>
      <xdr:rowOff>135731</xdr:rowOff>
    </xdr:from>
    <xdr:to>
      <xdr:col>7</xdr:col>
      <xdr:colOff>390525</xdr:colOff>
      <xdr:row>23</xdr:row>
      <xdr:rowOff>69057</xdr:rowOff>
    </xdr:to>
    <xdr:graphicFrame macro="">
      <xdr:nvGraphicFramePr>
        <xdr:cNvPr id="70" name="Chart 69">
          <a:extLst>
            <a:ext uri="{FF2B5EF4-FFF2-40B4-BE49-F238E27FC236}">
              <a16:creationId xmlns:a16="http://schemas.microsoft.com/office/drawing/2014/main" id="{2F1DF247-8923-4873-812E-BC7D8CE1FF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7</xdr:col>
      <xdr:colOff>514350</xdr:colOff>
      <xdr:row>13</xdr:row>
      <xdr:rowOff>11906</xdr:rowOff>
    </xdr:from>
    <xdr:to>
      <xdr:col>13</xdr:col>
      <xdr:colOff>559592</xdr:colOff>
      <xdr:row>23</xdr:row>
      <xdr:rowOff>111919</xdr:rowOff>
    </xdr:to>
    <xdr:graphicFrame macro="">
      <xdr:nvGraphicFramePr>
        <xdr:cNvPr id="71" name="Chart 70">
          <a:extLst>
            <a:ext uri="{FF2B5EF4-FFF2-40B4-BE49-F238E27FC236}">
              <a16:creationId xmlns:a16="http://schemas.microsoft.com/office/drawing/2014/main" id="{BF8194EA-DD18-4AE4-969C-1039791772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14</xdr:col>
      <xdr:colOff>135732</xdr:colOff>
      <xdr:row>12</xdr:row>
      <xdr:rowOff>45243</xdr:rowOff>
    </xdr:from>
    <xdr:to>
      <xdr:col>21</xdr:col>
      <xdr:colOff>50006</xdr:colOff>
      <xdr:row>23</xdr:row>
      <xdr:rowOff>47624</xdr:rowOff>
    </xdr:to>
    <xdr:graphicFrame macro="">
      <xdr:nvGraphicFramePr>
        <xdr:cNvPr id="72" name="Chart 71">
          <a:extLst>
            <a:ext uri="{FF2B5EF4-FFF2-40B4-BE49-F238E27FC236}">
              <a16:creationId xmlns:a16="http://schemas.microsoft.com/office/drawing/2014/main" id="{4377FCF5-183E-4860-8226-B7909ED6AA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xdr:col>
      <xdr:colOff>342899</xdr:colOff>
      <xdr:row>24</xdr:row>
      <xdr:rowOff>42863</xdr:rowOff>
    </xdr:from>
    <xdr:to>
      <xdr:col>7</xdr:col>
      <xdr:colOff>504824</xdr:colOff>
      <xdr:row>35</xdr:row>
      <xdr:rowOff>23813</xdr:rowOff>
    </xdr:to>
    <xdr:graphicFrame macro="">
      <xdr:nvGraphicFramePr>
        <xdr:cNvPr id="73" name="Chart 72">
          <a:extLst>
            <a:ext uri="{FF2B5EF4-FFF2-40B4-BE49-F238E27FC236}">
              <a16:creationId xmlns:a16="http://schemas.microsoft.com/office/drawing/2014/main" id="{73D760CA-9675-47D5-AC12-B73FDF46D1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8</xdr:col>
      <xdr:colOff>21432</xdr:colOff>
      <xdr:row>23</xdr:row>
      <xdr:rowOff>157164</xdr:rowOff>
    </xdr:from>
    <xdr:to>
      <xdr:col>11</xdr:col>
      <xdr:colOff>411957</xdr:colOff>
      <xdr:row>34</xdr:row>
      <xdr:rowOff>128589</xdr:rowOff>
    </xdr:to>
    <xdr:graphicFrame macro="">
      <xdr:nvGraphicFramePr>
        <xdr:cNvPr id="74" name="Chart 73">
          <a:extLst>
            <a:ext uri="{FF2B5EF4-FFF2-40B4-BE49-F238E27FC236}">
              <a16:creationId xmlns:a16="http://schemas.microsoft.com/office/drawing/2014/main" id="{0233CAD5-F1CB-4ABB-8C13-B924F7F83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11</xdr:col>
      <xdr:colOff>561975</xdr:colOff>
      <xdr:row>23</xdr:row>
      <xdr:rowOff>126206</xdr:rowOff>
    </xdr:from>
    <xdr:to>
      <xdr:col>16</xdr:col>
      <xdr:colOff>361950</xdr:colOff>
      <xdr:row>34</xdr:row>
      <xdr:rowOff>97631</xdr:rowOff>
    </xdr:to>
    <xdr:graphicFrame macro="">
      <xdr:nvGraphicFramePr>
        <xdr:cNvPr id="75" name="Chart 74">
          <a:extLst>
            <a:ext uri="{FF2B5EF4-FFF2-40B4-BE49-F238E27FC236}">
              <a16:creationId xmlns:a16="http://schemas.microsoft.com/office/drawing/2014/main" id="{E889148B-08E0-4E8F-82F1-C8B385EA12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16</xdr:col>
      <xdr:colOff>592932</xdr:colOff>
      <xdr:row>23</xdr:row>
      <xdr:rowOff>171450</xdr:rowOff>
    </xdr:from>
    <xdr:to>
      <xdr:col>21</xdr:col>
      <xdr:colOff>147638</xdr:colOff>
      <xdr:row>35</xdr:row>
      <xdr:rowOff>38100</xdr:rowOff>
    </xdr:to>
    <xdr:graphicFrame macro="">
      <xdr:nvGraphicFramePr>
        <xdr:cNvPr id="76" name="Chart 75">
          <a:extLst>
            <a:ext uri="{FF2B5EF4-FFF2-40B4-BE49-F238E27FC236}">
              <a16:creationId xmlns:a16="http://schemas.microsoft.com/office/drawing/2014/main" id="{2FA21462-4E6B-4CC1-A804-56472855DF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editAs="oneCell">
    <xdr:from>
      <xdr:col>17</xdr:col>
      <xdr:colOff>154780</xdr:colOff>
      <xdr:row>3</xdr:row>
      <xdr:rowOff>107156</xdr:rowOff>
    </xdr:from>
    <xdr:to>
      <xdr:col>21</xdr:col>
      <xdr:colOff>190499</xdr:colOff>
      <xdr:row>7</xdr:row>
      <xdr:rowOff>166689</xdr:rowOff>
    </xdr:to>
    <mc:AlternateContent xmlns:mc="http://schemas.openxmlformats.org/markup-compatibility/2006" xmlns:a14="http://schemas.microsoft.com/office/drawing/2010/main">
      <mc:Choice Requires="a14">
        <xdr:graphicFrame macro="">
          <xdr:nvGraphicFramePr>
            <xdr:cNvPr id="77" name="Month">
              <a:extLst>
                <a:ext uri="{FF2B5EF4-FFF2-40B4-BE49-F238E27FC236}">
                  <a16:creationId xmlns:a16="http://schemas.microsoft.com/office/drawing/2014/main" id="{75F1DCA4-B84C-4BB4-9F1F-ED75DEC9168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0477499" y="678656"/>
              <a:ext cx="2464594" cy="8215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345279</xdr:colOff>
      <xdr:row>3</xdr:row>
      <xdr:rowOff>71437</xdr:rowOff>
    </xdr:from>
    <xdr:to>
      <xdr:col>10</xdr:col>
      <xdr:colOff>352422</xdr:colOff>
      <xdr:row>7</xdr:row>
      <xdr:rowOff>178593</xdr:rowOff>
    </xdr:to>
    <mc:AlternateContent xmlns:mc="http://schemas.openxmlformats.org/markup-compatibility/2006" xmlns:a14="http://schemas.microsoft.com/office/drawing/2010/main">
      <mc:Choice Requires="a14">
        <xdr:graphicFrame macro="">
          <xdr:nvGraphicFramePr>
            <xdr:cNvPr id="78" name="Stock Status">
              <a:extLst>
                <a:ext uri="{FF2B5EF4-FFF2-40B4-BE49-F238E27FC236}">
                  <a16:creationId xmlns:a16="http://schemas.microsoft.com/office/drawing/2014/main" id="{808956CE-363A-424C-BDE5-36DC1E1C560F}"/>
                </a:ext>
              </a:extLst>
            </xdr:cNvPr>
            <xdr:cNvGraphicFramePr/>
          </xdr:nvGraphicFramePr>
          <xdr:xfrm>
            <a:off x="0" y="0"/>
            <a:ext cx="0" cy="0"/>
          </xdr:xfrm>
          <a:graphic>
            <a:graphicData uri="http://schemas.microsoft.com/office/drawing/2010/slicer">
              <sle:slicer xmlns:sle="http://schemas.microsoft.com/office/drawing/2010/slicer" name="Stock Status"/>
            </a:graphicData>
          </a:graphic>
        </xdr:graphicFrame>
      </mc:Choice>
      <mc:Fallback xmlns="">
        <xdr:sp macro="" textlink="">
          <xdr:nvSpPr>
            <xdr:cNvPr id="0" name=""/>
            <xdr:cNvSpPr>
              <a:spLocks noTextEdit="1"/>
            </xdr:cNvSpPr>
          </xdr:nvSpPr>
          <xdr:spPr>
            <a:xfrm>
              <a:off x="4595810" y="642937"/>
              <a:ext cx="1828800" cy="8691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392907</xdr:colOff>
      <xdr:row>3</xdr:row>
      <xdr:rowOff>47625</xdr:rowOff>
    </xdr:from>
    <xdr:to>
      <xdr:col>17</xdr:col>
      <xdr:colOff>107156</xdr:colOff>
      <xdr:row>8</xdr:row>
      <xdr:rowOff>11906</xdr:rowOff>
    </xdr:to>
    <mc:AlternateContent xmlns:mc="http://schemas.openxmlformats.org/markup-compatibility/2006" xmlns:a14="http://schemas.microsoft.com/office/drawing/2010/main">
      <mc:Choice Requires="a14">
        <xdr:graphicFrame macro="">
          <xdr:nvGraphicFramePr>
            <xdr:cNvPr id="79" name="Category">
              <a:extLst>
                <a:ext uri="{FF2B5EF4-FFF2-40B4-BE49-F238E27FC236}">
                  <a16:creationId xmlns:a16="http://schemas.microsoft.com/office/drawing/2014/main" id="{303E26BB-5AEA-44B0-866A-CE80969975E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465095" y="619125"/>
              <a:ext cx="3964780" cy="9167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273843</xdr:colOff>
      <xdr:row>3</xdr:row>
      <xdr:rowOff>83343</xdr:rowOff>
    </xdr:from>
    <xdr:to>
      <xdr:col>7</xdr:col>
      <xdr:colOff>226218</xdr:colOff>
      <xdr:row>7</xdr:row>
      <xdr:rowOff>190499</xdr:rowOff>
    </xdr:to>
    <mc:AlternateContent xmlns:mc="http://schemas.openxmlformats.org/markup-compatibility/2006" xmlns:a14="http://schemas.microsoft.com/office/drawing/2010/main">
      <mc:Choice Requires="a14">
        <xdr:graphicFrame macro="">
          <xdr:nvGraphicFramePr>
            <xdr:cNvPr id="80" name="Warehouse">
              <a:extLst>
                <a:ext uri="{FF2B5EF4-FFF2-40B4-BE49-F238E27FC236}">
                  <a16:creationId xmlns:a16="http://schemas.microsoft.com/office/drawing/2014/main" id="{25DC6835-C67D-461B-A895-910101D814DD}"/>
                </a:ext>
              </a:extLst>
            </xdr:cNvPr>
            <xdr:cNvGraphicFramePr/>
          </xdr:nvGraphicFramePr>
          <xdr:xfrm>
            <a:off x="0" y="0"/>
            <a:ext cx="0" cy="0"/>
          </xdr:xfrm>
          <a:graphic>
            <a:graphicData uri="http://schemas.microsoft.com/office/drawing/2010/slicer">
              <sle:slicer xmlns:sle="http://schemas.microsoft.com/office/drawing/2010/slicer" name="Warehouse"/>
            </a:graphicData>
          </a:graphic>
        </xdr:graphicFrame>
      </mc:Choice>
      <mc:Fallback xmlns="">
        <xdr:sp macro="" textlink="">
          <xdr:nvSpPr>
            <xdr:cNvPr id="0" name=""/>
            <xdr:cNvSpPr>
              <a:spLocks noTextEdit="1"/>
            </xdr:cNvSpPr>
          </xdr:nvSpPr>
          <xdr:spPr>
            <a:xfrm>
              <a:off x="881062" y="654843"/>
              <a:ext cx="3595687" cy="8691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cdr:x>
      <cdr:y>0</cdr:y>
    </cdr:from>
    <cdr:to>
      <cdr:x>0</cdr:x>
      <cdr:y>0</cdr:y>
    </cdr:to>
    <cdr:pic>
      <cdr:nvPicPr>
        <cdr:cNvPr id="2" name="chart">
          <a:extLst xmlns:a="http://schemas.openxmlformats.org/drawingml/2006/main">
            <a:ext uri="{FF2B5EF4-FFF2-40B4-BE49-F238E27FC236}">
              <a16:creationId xmlns:a16="http://schemas.microsoft.com/office/drawing/2014/main" id="{B895FF17-D8A5-BEB4-9550-9C9AC8E47A3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flipH="1">
          <a:off x="-4848225" y="-2119312"/>
          <a:ext cx="0" cy="0"/>
        </a:xfrm>
        <a:prstGeom xmlns:a="http://schemas.openxmlformats.org/drawingml/2006/main" prst="rect">
          <a:avLst/>
        </a:prstGeom>
      </cdr:spPr>
    </cdr:pic>
  </cdr:relSizeAnchor>
  <cdr:relSizeAnchor xmlns:cdr="http://schemas.openxmlformats.org/drawingml/2006/chartDrawing">
    <cdr:from>
      <cdr:x>0</cdr:x>
      <cdr:y>0</cdr:y>
    </cdr:from>
    <cdr:to>
      <cdr:x>0</cdr:x>
      <cdr:y>0</cdr:y>
    </cdr:to>
    <cdr:pic>
      <cdr:nvPicPr>
        <cdr:cNvPr id="3" name="chart">
          <a:extLst xmlns:a="http://schemas.openxmlformats.org/drawingml/2006/main">
            <a:ext uri="{FF2B5EF4-FFF2-40B4-BE49-F238E27FC236}">
              <a16:creationId xmlns:a16="http://schemas.microsoft.com/office/drawing/2014/main" id="{6289EDBA-1BBA-C20D-553C-FDB070CE844A}"/>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stretch xmlns:a="http://schemas.openxmlformats.org/drawingml/2006/main">
          <a:fillRect/>
        </a:stretch>
      </cdr:blipFill>
      <cdr:spPr>
        <a:xfrm xmlns:a="http://schemas.openxmlformats.org/drawingml/2006/main" flipH="1">
          <a:off x="-4812506" y="-2119312"/>
          <a:ext cx="0" cy="0"/>
        </a:xfrm>
        <a:prstGeom xmlns:a="http://schemas.openxmlformats.org/drawingml/2006/main" prst="rect">
          <a:avLst/>
        </a:prstGeom>
      </cdr:spPr>
    </cdr:pic>
  </cdr:relSizeAnchor>
</c:userShapes>
</file>

<file path=xl/drawings/drawing3.xml><?xml version="1.0" encoding="utf-8"?>
<xdr:wsDr xmlns:xdr="http://schemas.openxmlformats.org/drawingml/2006/spreadsheetDrawing" xmlns:a="http://schemas.openxmlformats.org/drawingml/2006/main">
  <xdr:twoCellAnchor editAs="oneCell">
    <xdr:from>
      <xdr:col>2</xdr:col>
      <xdr:colOff>514350</xdr:colOff>
      <xdr:row>0</xdr:row>
      <xdr:rowOff>0</xdr:rowOff>
    </xdr:from>
    <xdr:to>
      <xdr:col>3</xdr:col>
      <xdr:colOff>84098</xdr:colOff>
      <xdr:row>2</xdr:row>
      <xdr:rowOff>108893</xdr:rowOff>
    </xdr:to>
    <xdr:pic>
      <xdr:nvPicPr>
        <xdr:cNvPr id="5" name="Graphic 4" descr="Back with solid fill">
          <a:hlinkClick xmlns:r="http://schemas.openxmlformats.org/officeDocument/2006/relationships" r:id="rId1"/>
          <a:extLst>
            <a:ext uri="{FF2B5EF4-FFF2-40B4-BE49-F238E27FC236}">
              <a16:creationId xmlns:a16="http://schemas.microsoft.com/office/drawing/2014/main" id="{034EB6BD-D84E-EF71-4F2E-570BF0BEA31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295650" y="0"/>
          <a:ext cx="884198" cy="48989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32657</xdr:colOff>
      <xdr:row>0</xdr:row>
      <xdr:rowOff>38100</xdr:rowOff>
    </xdr:from>
    <xdr:to>
      <xdr:col>1</xdr:col>
      <xdr:colOff>217714</xdr:colOff>
      <xdr:row>1</xdr:row>
      <xdr:rowOff>114300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498BA17A-A101-468C-83E0-830AB019A742}"/>
            </a:ext>
          </a:extLst>
        </xdr:cNvPr>
        <xdr:cNvSpPr/>
      </xdr:nvSpPr>
      <xdr:spPr>
        <a:xfrm>
          <a:off x="32657" y="38100"/>
          <a:ext cx="919843" cy="261257"/>
        </a:xfrm>
        <a:prstGeom prst="roundRect">
          <a:avLst>
            <a:gd name="adj" fmla="val 50000"/>
          </a:avLst>
        </a:prstGeom>
        <a:solidFill>
          <a:srgbClr val="0070C0"/>
        </a:solidFill>
        <a:ln w="28575">
          <a:solidFill>
            <a:schemeClr val="bg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bg1"/>
              </a:solidFill>
            </a:rPr>
            <a:t>Back</a:t>
          </a:r>
          <a:endParaRPr lang="en-IN" sz="1800" b="1">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74.532815509257" createdVersion="8" refreshedVersion="8" minRefreshableVersion="3" recordCount="500" xr:uid="{28889E12-B164-4C89-BC16-E20AF1B103BC}">
  <cacheSource type="worksheet">
    <worksheetSource name="Table1"/>
  </cacheSource>
  <cacheFields count="17">
    <cacheField name="Date" numFmtId="14">
      <sharedItems containsSemiMixedTypes="0" containsNonDate="0" containsDate="1" containsString="0" minDate="2025-01-01T00:00:00" maxDate="2026-05-16T00:00:00"/>
    </cacheField>
    <cacheField name="Product" numFmtId="0">
      <sharedItems count="20">
        <s v="WiFi Router"/>
        <s v="Refrigerator 250L"/>
        <s v="Notebook Premium"/>
        <s v="Vacuum Cleaner"/>
        <s v="Laptop Pro 15"/>
        <s v="Air Conditioner 1.5T"/>
        <s v="Smartphone X1"/>
        <s v="Coffee Maker"/>
        <s v="Water Purifier"/>
        <s v="Washing Machine"/>
        <s v="LED TV 55&quot;"/>
        <s v="Paper Pack A4"/>
        <s v="Office Chair"/>
        <s v="Bluetooth Speaker"/>
        <s v="Desk Lamp"/>
        <s v="Wooden Table"/>
        <s v="Printer All-in-One"/>
        <s v="Microwave Oven"/>
        <s v="Projector HD"/>
        <s v="Bookshelf"/>
      </sharedItems>
    </cacheField>
    <cacheField name="Category" numFmtId="0">
      <sharedItems count="5">
        <s v="Electronics"/>
        <s v="Home Appliances"/>
        <s v="Office Supplies"/>
        <s v="Others"/>
        <s v="Furniture"/>
      </sharedItems>
    </cacheField>
    <cacheField name="Warehouse" numFmtId="0">
      <sharedItems count="6">
        <s v="HSR Hub"/>
        <s v="MYS Hub"/>
        <s v="HYD Hub"/>
        <s v="KLR Hub"/>
        <s v="BLR Hub"/>
        <s v="CHN Hub"/>
      </sharedItems>
    </cacheField>
    <cacheField name="Supplier" numFmtId="0">
      <sharedItems/>
    </cacheField>
    <cacheField name="Quantity" numFmtId="0">
      <sharedItems containsSemiMixedTypes="0" containsString="0" containsNumber="1" containsInteger="1" minValue="7" maxValue="250"/>
    </cacheField>
    <cacheField name="Reorder Level" numFmtId="0">
      <sharedItems containsSemiMixedTypes="0" containsString="0" containsNumber="1" containsInteger="1" minValue="10" maxValue="50"/>
    </cacheField>
    <cacheField name="Stock Status" numFmtId="0">
      <sharedItems count="3">
        <s v="In Stock"/>
        <s v="Low Stock"/>
        <s v="Out of Stock"/>
      </sharedItems>
    </cacheField>
    <cacheField name="Unit Price (₹)" numFmtId="0">
      <sharedItems containsSemiMixedTypes="0" containsString="0" containsNumber="1" containsInteger="1" minValue="18" maxValue="8500"/>
    </cacheField>
    <cacheField name="Purchase Value (₹)" numFmtId="0">
      <sharedItems containsSemiMixedTypes="0" containsString="0" containsNumber="1" minValue="31.99" maxValue="488761.41"/>
    </cacheField>
    <cacheField name="Sales Qty" numFmtId="0">
      <sharedItems containsSemiMixedTypes="0" containsString="0" containsNumber="1" containsInteger="1" minValue="1" maxValue="59"/>
    </cacheField>
    <cacheField name="Sales Value (₹)" numFmtId="0">
      <sharedItems containsSemiMixedTypes="0" containsString="0" containsNumber="1" minValue="19.559999999999999" maxValue="299584.03000000003"/>
    </cacheField>
    <cacheField name="Month" numFmtId="0">
      <sharedItems count="12">
        <s v="Jan"/>
        <s v="Feb"/>
        <s v="Mar"/>
        <s v="Apr"/>
        <s v="May"/>
        <s v="Jun"/>
        <s v="Jul"/>
        <s v="Aug"/>
        <s v="Sep"/>
        <s v="Oct"/>
        <s v="Nov"/>
        <s v="Dec"/>
      </sharedItems>
    </cacheField>
    <cacheField name="Inventory Value" numFmtId="0">
      <sharedItems containsSemiMixedTypes="0" containsString="0" containsNumber="1" containsInteger="1" minValue="576" maxValue="2116500"/>
    </cacheField>
    <cacheField name="Reorder QTY" numFmtId="0">
      <sharedItems containsSemiMixedTypes="0" containsString="0" containsNumber="1" containsInteger="1" minValue="0" maxValue="34"/>
    </cacheField>
    <cacheField name="Above Reorder QTY" numFmtId="0">
      <sharedItems containsSemiMixedTypes="0" containsString="0" containsNumber="1" containsInteger="1" minValue="0" maxValue="232"/>
    </cacheField>
    <cacheField name="Above Reorder Inventory Value" numFmtId="0">
      <sharedItems containsString="0" containsBlank="1" containsNumber="1" containsInteger="1" minValue="72000" maxValue="72000"/>
    </cacheField>
  </cacheFields>
  <extLst>
    <ext xmlns:x14="http://schemas.microsoft.com/office/spreadsheetml/2009/9/main" uri="{725AE2AE-9491-48be-B2B4-4EB974FC3084}">
      <x14:pivotCacheDefinition pivotCacheId="192891115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5.82731724537" backgroundQuery="1" createdVersion="8" refreshedVersion="8" minRefreshableVersion="3" recordCount="0" supportSubquery="1" supportAdvancedDrill="1" xr:uid="{F3C08E90-069B-44A9-90DE-812A8A26CA76}">
  <cacheSource type="external" connectionId="1"/>
  <cacheFields count="2">
    <cacheField name="[Table1].[Product].[Product]" caption="Product" numFmtId="0" hierarchy="1" level="1">
      <sharedItems count="10">
        <s v="Air Conditioner 1.5T"/>
        <s v="Laptop Pro 15"/>
        <s v="LED TV 55&quot;"/>
        <s v="Microwave Oven"/>
        <s v="Printer All-in-One"/>
        <s v="Projector HD"/>
        <s v="Refrigerator 250L"/>
        <s v="Smartphone X1"/>
        <s v="Washing Machine"/>
        <s v="Water Purifier"/>
      </sharedItems>
    </cacheField>
    <cacheField name="[Measures].[Sum of Above Reorder Inventory Value]" caption="Sum of Above Reorder Inventory Value" numFmtId="0" hierarchy="19" level="32767"/>
  </cacheFields>
  <cacheHierarchies count="24">
    <cacheHierarchy uniqueName="[Table1].[Date]" caption="Date" attribute="1" time="1" defaultMemberUniqueName="[Table1].[Date].[All]" allUniqueName="[Table1].[Date].[All]" dimensionUniqueName="[Table1]" displayFolder="" count="0" memberValueDatatype="7" unbalanced="0"/>
    <cacheHierarchy uniqueName="[Table1].[Product]" caption="Product" attribute="1" defaultMemberUniqueName="[Table1].[Product].[All]" allUniqueName="[Table1].[Product].[All]" dimensionUniqueName="[Table1]" displayFolder="" count="2" memberValueDatatype="130" unbalanced="0">
      <fieldsUsage count="2">
        <fieldUsage x="-1"/>
        <fieldUsage x="0"/>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Warehouse]" caption="Warehouse" attribute="1" defaultMemberUniqueName="[Table1].[Warehouse].[All]" allUniqueName="[Table1].[Warehouse].[All]" dimensionUniqueName="[Table1]" displayFolder="" count="0" memberValueDatatype="130" unbalanced="0"/>
    <cacheHierarchy uniqueName="[Table1].[Supplier]" caption="Supplier" attribute="1" defaultMemberUniqueName="[Table1].[Supplier].[All]" allUniqueName="[Table1].[Supplier].[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Reorder Level]" caption="Reorder Level" attribute="1" defaultMemberUniqueName="[Table1].[Reorder Level].[All]" allUniqueName="[Table1].[Reorder Level].[All]" dimensionUniqueName="[Table1]" displayFolder="" count="0" memberValueDatatype="20" unbalanced="0"/>
    <cacheHierarchy uniqueName="[Table1].[Stock Status]" caption="Stock Status" attribute="1" defaultMemberUniqueName="[Table1].[Stock Status].[All]" allUniqueName="[Table1].[Stock Status].[All]" dimensionUniqueName="[Table1]" displayFolder="" count="0" memberValueDatatype="130" unbalanced="0"/>
    <cacheHierarchy uniqueName="[Table1].[Unit Price (₹)]" caption="Unit Price (₹)" attribute="1" defaultMemberUniqueName="[Table1].[Unit Price (₹)].[All]" allUniqueName="[Table1].[Unit Price (₹)].[All]" dimensionUniqueName="[Table1]" displayFolder="" count="0" memberValueDatatype="20" unbalanced="0"/>
    <cacheHierarchy uniqueName="[Table1].[Purchase Value (₹)]" caption="Purchase Value (₹)" attribute="1" defaultMemberUniqueName="[Table1].[Purchase Value (₹)].[All]" allUniqueName="[Table1].[Purchase Value (₹)].[All]" dimensionUniqueName="[Table1]" displayFolder="" count="0" memberValueDatatype="5" unbalanced="0"/>
    <cacheHierarchy uniqueName="[Table1].[Sales Qty]" caption="Sales Qty" attribute="1" defaultMemberUniqueName="[Table1].[Sales Qty].[All]" allUniqueName="[Table1].[Sales Qty].[All]" dimensionUniqueName="[Table1]" displayFolder="" count="0" memberValueDatatype="20" unbalanced="0"/>
    <cacheHierarchy uniqueName="[Table1].[Sales Value (₹)]" caption="Sales Value (₹)" attribute="1" defaultMemberUniqueName="[Table1].[Sales Value (₹)].[All]" allUniqueName="[Table1].[Sales Value (₹)].[All]" dimensionUniqueName="[Table1]" displayFolder="" count="0" memberValueDatatype="5" unbalanced="0"/>
    <cacheHierarchy uniqueName="[Table1].[Month]" caption="Month" attribute="1" defaultMemberUniqueName="[Table1].[Month].[All]" allUniqueName="[Table1].[Month].[All]" dimensionUniqueName="[Table1]" displayFolder="" count="0" memberValueDatatype="130" unbalanced="0"/>
    <cacheHierarchy uniqueName="[Table1].[Inventory Value]" caption="Inventory Value" attribute="1" defaultMemberUniqueName="[Table1].[Inventory Value].[All]" allUniqueName="[Table1].[Inventory Value].[All]" dimensionUniqueName="[Table1]" displayFolder="" count="0" memberValueDatatype="20" unbalanced="0"/>
    <cacheHierarchy uniqueName="[Table1].[Reorder QTY]" caption="Reorder QTY" attribute="1" defaultMemberUniqueName="[Table1].[Reorder QTY].[All]" allUniqueName="[Table1].[Reorder QTY].[All]" dimensionUniqueName="[Table1]" displayFolder="" count="0" memberValueDatatype="20" unbalanced="0"/>
    <cacheHierarchy uniqueName="[Table1].[Above Reorder QTY]" caption="Above Reorder QTY" attribute="1" defaultMemberUniqueName="[Table1].[Above Reorder QTY].[All]" allUniqueName="[Table1].[Above Reorder QTY].[All]" dimensionUniqueName="[Table1]" displayFolder="" count="0" memberValueDatatype="20" unbalanced="0"/>
    <cacheHierarchy uniqueName="[Table1].[Above Reorder Inventory Value]" caption="Above Reorder Inventory Value" attribute="1" defaultMemberUniqueName="[Table1].[Above Reorder Inventory Value].[All]" allUniqueName="[Table1].[Above Reorder Inventory Value].[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bove Reorder Inventory Value]" caption="Sum of Above Reorder Inventory Value" measure="1" displayFolder="" measureGroup="Table1"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5"/>
        </ext>
      </extLst>
    </cacheHierarchy>
    <cacheHierarchy uniqueName="[Measures].[Sum of Sales Qty]" caption="Sum of Sales Qty" measure="1" displayFolder="" measureGroup="Table1" count="0" hidden="1">
      <extLst>
        <ext xmlns:x15="http://schemas.microsoft.com/office/spreadsheetml/2010/11/main" uri="{B97F6D7D-B522-45F9-BDA1-12C45D357490}">
          <x15:cacheHierarchy aggregatedColumn="10"/>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1"/>
        </ext>
      </extLst>
    </cacheHierarchy>
    <cacheHierarchy uniqueName="[Measures].[Sum of Purchase Value (₹)]" caption="Sum of Purchase Value (₹)" measure="1" displayFolder="" measureGroup="Table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5.827315972223" backgroundQuery="1" createdVersion="8" refreshedVersion="8" minRefreshableVersion="3" recordCount="0" supportSubquery="1" supportAdvancedDrill="1" xr:uid="{F3982CFF-BC44-46EC-9558-5F77BB573186}">
  <cacheSource type="external" connectionId="1"/>
  <cacheFields count="4">
    <cacheField name="[Table1].[Product].[Product]" caption="Product" numFmtId="0" hierarchy="1" level="1">
      <sharedItems count="10">
        <s v="Air Conditioner 1.5T"/>
        <s v="Laptop Pro 15"/>
        <s v="LED TV 55&quot;"/>
        <s v="Microwave Oven"/>
        <s v="Printer All-in-One"/>
        <s v="Projector HD"/>
        <s v="Refrigerator 250L"/>
        <s v="Smartphone X1"/>
        <s v="Washing Machine"/>
        <s v="Water Purifier"/>
      </sharedItems>
    </cacheField>
    <cacheField name="[Table1].[Category].[Category]" caption="Category" numFmtId="0" hierarchy="2" level="1">
      <sharedItems count="5">
        <s v="Electronics"/>
        <s v="Furniture"/>
        <s v="Home Appliances"/>
        <s v="Office Supplies"/>
        <s v="Others"/>
      </sharedItems>
    </cacheField>
    <cacheField name="[Measures].[Sum of Quantity]" caption="Sum of Quantity" numFmtId="0" hierarchy="20" level="32767"/>
    <cacheField name="[Measures].[Sum of Sales Qty]" caption="Sum of Sales Qty" numFmtId="0" hierarchy="21" level="32767"/>
  </cacheFields>
  <cacheHierarchies count="24">
    <cacheHierarchy uniqueName="[Table1].[Date]" caption="Date" attribute="1" time="1" defaultMemberUniqueName="[Table1].[Date].[All]" allUniqueName="[Table1].[Date].[All]" dimensionUniqueName="[Table1]" displayFolder="" count="0" memberValueDatatype="7" unbalanced="0"/>
    <cacheHierarchy uniqueName="[Table1].[Product]" caption="Product" attribute="1" defaultMemberUniqueName="[Table1].[Product].[All]" allUniqueName="[Table1].[Product].[All]" dimensionUniqueName="[Table1]" displayFolder="" count="2" memberValueDatatype="130" unbalanced="0">
      <fieldsUsage count="2">
        <fieldUsage x="-1"/>
        <fieldUsage x="0"/>
      </fieldsUsage>
    </cacheHierarchy>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Warehouse]" caption="Warehouse" attribute="1" defaultMemberUniqueName="[Table1].[Warehouse].[All]" allUniqueName="[Table1].[Warehouse].[All]" dimensionUniqueName="[Table1]" displayFolder="" count="0" memberValueDatatype="130" unbalanced="0"/>
    <cacheHierarchy uniqueName="[Table1].[Supplier]" caption="Supplier" attribute="1" defaultMemberUniqueName="[Table1].[Supplier].[All]" allUniqueName="[Table1].[Supplier].[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Reorder Level]" caption="Reorder Level" attribute="1" defaultMemberUniqueName="[Table1].[Reorder Level].[All]" allUniqueName="[Table1].[Reorder Level].[All]" dimensionUniqueName="[Table1]" displayFolder="" count="0" memberValueDatatype="20" unbalanced="0"/>
    <cacheHierarchy uniqueName="[Table1].[Stock Status]" caption="Stock Status" attribute="1" defaultMemberUniqueName="[Table1].[Stock Status].[All]" allUniqueName="[Table1].[Stock Status].[All]" dimensionUniqueName="[Table1]" displayFolder="" count="0" memberValueDatatype="130" unbalanced="0"/>
    <cacheHierarchy uniqueName="[Table1].[Unit Price (₹)]" caption="Unit Price (₹)" attribute="1" defaultMemberUniqueName="[Table1].[Unit Price (₹)].[All]" allUniqueName="[Table1].[Unit Price (₹)].[All]" dimensionUniqueName="[Table1]" displayFolder="" count="0" memberValueDatatype="20" unbalanced="0"/>
    <cacheHierarchy uniqueName="[Table1].[Purchase Value (₹)]" caption="Purchase Value (₹)" attribute="1" defaultMemberUniqueName="[Table1].[Purchase Value (₹)].[All]" allUniqueName="[Table1].[Purchase Value (₹)].[All]" dimensionUniqueName="[Table1]" displayFolder="" count="0" memberValueDatatype="5" unbalanced="0"/>
    <cacheHierarchy uniqueName="[Table1].[Sales Qty]" caption="Sales Qty" attribute="1" defaultMemberUniqueName="[Table1].[Sales Qty].[All]" allUniqueName="[Table1].[Sales Qty].[All]" dimensionUniqueName="[Table1]" displayFolder="" count="0" memberValueDatatype="20" unbalanced="0"/>
    <cacheHierarchy uniqueName="[Table1].[Sales Value (₹)]" caption="Sales Value (₹)" attribute="1" defaultMemberUniqueName="[Table1].[Sales Value (₹)].[All]" allUniqueName="[Table1].[Sales Value (₹)].[All]" dimensionUniqueName="[Table1]" displayFolder="" count="0" memberValueDatatype="5" unbalanced="0"/>
    <cacheHierarchy uniqueName="[Table1].[Month]" caption="Month" attribute="1" defaultMemberUniqueName="[Table1].[Month].[All]" allUniqueName="[Table1].[Month].[All]" dimensionUniqueName="[Table1]" displayFolder="" count="0" memberValueDatatype="130" unbalanced="0"/>
    <cacheHierarchy uniqueName="[Table1].[Inventory Value]" caption="Inventory Value" attribute="1" defaultMemberUniqueName="[Table1].[Inventory Value].[All]" allUniqueName="[Table1].[Inventory Value].[All]" dimensionUniqueName="[Table1]" displayFolder="" count="0" memberValueDatatype="20" unbalanced="0"/>
    <cacheHierarchy uniqueName="[Table1].[Reorder QTY]" caption="Reorder QTY" attribute="1" defaultMemberUniqueName="[Table1].[Reorder QTY].[All]" allUniqueName="[Table1].[Reorder QTY].[All]" dimensionUniqueName="[Table1]" displayFolder="" count="0" memberValueDatatype="20" unbalanced="0"/>
    <cacheHierarchy uniqueName="[Table1].[Above Reorder QTY]" caption="Above Reorder QTY" attribute="1" defaultMemberUniqueName="[Table1].[Above Reorder QTY].[All]" allUniqueName="[Table1].[Above Reorder QTY].[All]" dimensionUniqueName="[Table1]" displayFolder="" count="0" memberValueDatatype="20" unbalanced="0"/>
    <cacheHierarchy uniqueName="[Table1].[Above Reorder Inventory Value]" caption="Above Reorder Inventory Value" attribute="1" defaultMemberUniqueName="[Table1].[Above Reorder Inventory Value].[All]" allUniqueName="[Table1].[Above Reorder Inventory Value].[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bove Reorder Inventory Value]" caption="Sum of Above Reorder Inventory Value" measure="1" displayFolder="" measureGroup="Table1"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Table1"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Sales Qty]" caption="Sum of Sales Qty" measure="1" displayFolder="" measureGroup="Table1"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1"/>
        </ext>
      </extLst>
    </cacheHierarchy>
    <cacheHierarchy uniqueName="[Measures].[Sum of Purchase Value (₹)]" caption="Sum of Purchase Value (₹)" measure="1" displayFolder="" measureGroup="Table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5.846595023148" backgroundQuery="1" createdVersion="8" refreshedVersion="8" minRefreshableVersion="3" recordCount="0" supportSubquery="1" supportAdvancedDrill="1" xr:uid="{8DD5E857-F224-4DA2-BB83-B35449E999A5}">
  <cacheSource type="external" connectionId="1"/>
  <cacheFields count="3">
    <cacheField name="[Table1].[Product].[Product]" caption="Product" numFmtId="0" hierarchy="1" level="1">
      <sharedItems count="10">
        <s v="Air Conditioner 1.5T"/>
        <s v="Laptop Pro 15"/>
        <s v="LED TV 55&quot;"/>
        <s v="Microwave Oven"/>
        <s v="Printer All-in-One"/>
        <s v="Projector HD"/>
        <s v="Refrigerator 250L"/>
        <s v="Smartphone X1"/>
        <s v="Washing Machine"/>
        <s v="Water Purifier"/>
      </sharedItems>
    </cacheField>
    <cacheField name="[Table1].[Stock Status].[Stock Status]" caption="Stock Status" numFmtId="0" hierarchy="7" level="1">
      <sharedItems count="3">
        <s v="In Stock"/>
        <s v="Low Stock"/>
        <s v="Out of Stock"/>
      </sharedItems>
    </cacheField>
    <cacheField name="[Measures].[Count of Product]" caption="Count of Product" numFmtId="0" hierarchy="22" level="32767"/>
  </cacheFields>
  <cacheHierarchies count="24">
    <cacheHierarchy uniqueName="[Table1].[Date]" caption="Date" attribute="1" time="1" defaultMemberUniqueName="[Table1].[Date].[All]" allUniqueName="[Table1].[Date].[All]" dimensionUniqueName="[Table1]" displayFolder="" count="0" memberValueDatatype="7" unbalanced="0"/>
    <cacheHierarchy uniqueName="[Table1].[Product]" caption="Product" attribute="1" defaultMemberUniqueName="[Table1].[Product].[All]" allUniqueName="[Table1].[Product].[All]" dimensionUniqueName="[Table1]" displayFolder="" count="2" memberValueDatatype="130" unbalanced="0">
      <fieldsUsage count="2">
        <fieldUsage x="-1"/>
        <fieldUsage x="0"/>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Warehouse]" caption="Warehouse" attribute="1" defaultMemberUniqueName="[Table1].[Warehouse].[All]" allUniqueName="[Table1].[Warehouse].[All]" dimensionUniqueName="[Table1]" displayFolder="" count="0" memberValueDatatype="130" unbalanced="0"/>
    <cacheHierarchy uniqueName="[Table1].[Supplier]" caption="Supplier" attribute="1" defaultMemberUniqueName="[Table1].[Supplier].[All]" allUniqueName="[Table1].[Supplier].[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Reorder Level]" caption="Reorder Level" attribute="1" defaultMemberUniqueName="[Table1].[Reorder Level].[All]" allUniqueName="[Table1].[Reorder Level].[All]" dimensionUniqueName="[Table1]" displayFolder="" count="0" memberValueDatatype="20" unbalanced="0"/>
    <cacheHierarchy uniqueName="[Table1].[Stock Status]" caption="Stock Status" attribute="1" defaultMemberUniqueName="[Table1].[Stock Status].[All]" allUniqueName="[Table1].[Stock Status].[All]" dimensionUniqueName="[Table1]" displayFolder="" count="2" memberValueDatatype="130" unbalanced="0">
      <fieldsUsage count="2">
        <fieldUsage x="-1"/>
        <fieldUsage x="1"/>
      </fieldsUsage>
    </cacheHierarchy>
    <cacheHierarchy uniqueName="[Table1].[Unit Price (₹)]" caption="Unit Price (₹)" attribute="1" defaultMemberUniqueName="[Table1].[Unit Price (₹)].[All]" allUniqueName="[Table1].[Unit Price (₹)].[All]" dimensionUniqueName="[Table1]" displayFolder="" count="0" memberValueDatatype="20" unbalanced="0"/>
    <cacheHierarchy uniqueName="[Table1].[Purchase Value (₹)]" caption="Purchase Value (₹)" attribute="1" defaultMemberUniqueName="[Table1].[Purchase Value (₹)].[All]" allUniqueName="[Table1].[Purchase Value (₹)].[All]" dimensionUniqueName="[Table1]" displayFolder="" count="0" memberValueDatatype="5" unbalanced="0"/>
    <cacheHierarchy uniqueName="[Table1].[Sales Qty]" caption="Sales Qty" attribute="1" defaultMemberUniqueName="[Table1].[Sales Qty].[All]" allUniqueName="[Table1].[Sales Qty].[All]" dimensionUniqueName="[Table1]" displayFolder="" count="0" memberValueDatatype="20" unbalanced="0"/>
    <cacheHierarchy uniqueName="[Table1].[Sales Value (₹)]" caption="Sales Value (₹)" attribute="1" defaultMemberUniqueName="[Table1].[Sales Value (₹)].[All]" allUniqueName="[Table1].[Sales Value (₹)].[All]" dimensionUniqueName="[Table1]" displayFolder="" count="0" memberValueDatatype="5" unbalanced="0"/>
    <cacheHierarchy uniqueName="[Table1].[Month]" caption="Month" attribute="1" defaultMemberUniqueName="[Table1].[Month].[All]" allUniqueName="[Table1].[Month].[All]" dimensionUniqueName="[Table1]" displayFolder="" count="0" memberValueDatatype="130" unbalanced="0"/>
    <cacheHierarchy uniqueName="[Table1].[Inventory Value]" caption="Inventory Value" attribute="1" defaultMemberUniqueName="[Table1].[Inventory Value].[All]" allUniqueName="[Table1].[Inventory Value].[All]" dimensionUniqueName="[Table1]" displayFolder="" count="0" memberValueDatatype="20" unbalanced="0"/>
    <cacheHierarchy uniqueName="[Table1].[Reorder QTY]" caption="Reorder QTY" attribute="1" defaultMemberUniqueName="[Table1].[Reorder QTY].[All]" allUniqueName="[Table1].[Reorder QTY].[All]" dimensionUniqueName="[Table1]" displayFolder="" count="0" memberValueDatatype="20" unbalanced="0"/>
    <cacheHierarchy uniqueName="[Table1].[Above Reorder QTY]" caption="Above Reorder QTY" attribute="1" defaultMemberUniqueName="[Table1].[Above Reorder QTY].[All]" allUniqueName="[Table1].[Above Reorder QTY].[All]" dimensionUniqueName="[Table1]" displayFolder="" count="0" memberValueDatatype="20" unbalanced="0"/>
    <cacheHierarchy uniqueName="[Table1].[Above Reorder Inventory Value]" caption="Above Reorder Inventory Value" attribute="1" defaultMemberUniqueName="[Table1].[Above Reorder Inventory Value].[All]" allUniqueName="[Table1].[Above Reorder Inventory Value].[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bove Reorder Inventory Value]" caption="Sum of Above Reorder Inventory Value" measure="1" displayFolder="" measureGroup="Table1"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5"/>
        </ext>
      </extLst>
    </cacheHierarchy>
    <cacheHierarchy uniqueName="[Measures].[Sum of Sales Qty]" caption="Sum of Sales Qty" measure="1" displayFolder="" measureGroup="Table1" count="0" hidden="1">
      <extLst>
        <ext xmlns:x15="http://schemas.microsoft.com/office/spreadsheetml/2010/11/main" uri="{B97F6D7D-B522-45F9-BDA1-12C45D357490}">
          <x15:cacheHierarchy aggregatedColumn="10"/>
        </ext>
      </extLst>
    </cacheHierarchy>
    <cacheHierarchy uniqueName="[Measures].[Count of Product]" caption="Count of Product" measure="1" displayFolder="" measureGroup="Table1"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Purchase Value (₹)]" caption="Sum of Purchase Value (₹)" measure="1" displayFolder="" measureGroup="Table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5.874704745373" backgroundQuery="1" createdVersion="8" refreshedVersion="8" minRefreshableVersion="3" recordCount="0" supportSubquery="1" supportAdvancedDrill="1" xr:uid="{972CE7A0-C318-417F-832B-90E8981962DB}">
  <cacheSource type="external" connectionId="1"/>
  <cacheFields count="3">
    <cacheField name="[Table1].[Product].[Product]" caption="Product" numFmtId="0" hierarchy="1" level="1">
      <sharedItems count="10">
        <s v="Air Conditioner 1.5T"/>
        <s v="Laptop Pro 15"/>
        <s v="LED TV 55&quot;"/>
        <s v="Microwave Oven"/>
        <s v="Printer All-in-One"/>
        <s v="Projector HD"/>
        <s v="Refrigerator 250L"/>
        <s v="Smartphone X1"/>
        <s v="Washing Machine"/>
        <s v="Water Purifier"/>
      </sharedItems>
    </cacheField>
    <cacheField name="[Table1].[Supplier].[Supplier]" caption="Supplier" numFmtId="0" hierarchy="4" level="1">
      <sharedItems count="7">
        <s v="ABC Distributors"/>
        <s v="Global Supplies"/>
        <s v="Greenline Trading"/>
        <s v="Metro Wholesale"/>
        <s v="National Suppliers"/>
        <s v="Prime Traders"/>
        <s v="Star Enterprises"/>
      </sharedItems>
    </cacheField>
    <cacheField name="[Measures].[Sum of Purchase Value (₹)]" caption="Sum of Purchase Value (₹)" numFmtId="0" hierarchy="23" level="32767"/>
  </cacheFields>
  <cacheHierarchies count="24">
    <cacheHierarchy uniqueName="[Table1].[Date]" caption="Date" attribute="1" time="1" defaultMemberUniqueName="[Table1].[Date].[All]" allUniqueName="[Table1].[Date].[All]" dimensionUniqueName="[Table1]" displayFolder="" count="0" memberValueDatatype="7" unbalanced="0"/>
    <cacheHierarchy uniqueName="[Table1].[Product]" caption="Product" attribute="1" defaultMemberUniqueName="[Table1].[Product].[All]" allUniqueName="[Table1].[Product].[All]" dimensionUniqueName="[Table1]" displayFolder="" count="2" memberValueDatatype="130" unbalanced="0">
      <fieldsUsage count="2">
        <fieldUsage x="-1"/>
        <fieldUsage x="0"/>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Warehouse]" caption="Warehouse" attribute="1" defaultMemberUniqueName="[Table1].[Warehouse].[All]" allUniqueName="[Table1].[Warehouse].[All]" dimensionUniqueName="[Table1]" displayFolder="" count="0" memberValueDatatype="130" unbalanced="0"/>
    <cacheHierarchy uniqueName="[Table1].[Supplier]" caption="Supplier" attribute="1" defaultMemberUniqueName="[Table1].[Supplier].[All]" allUniqueName="[Table1].[Supplier].[All]" dimensionUniqueName="[Table1]" displayFolder="" count="2" memberValueDatatype="130" unbalanced="0">
      <fieldsUsage count="2">
        <fieldUsage x="-1"/>
        <fieldUsage x="1"/>
      </fieldsUsage>
    </cacheHierarchy>
    <cacheHierarchy uniqueName="[Table1].[Quantity]" caption="Quantity" attribute="1" defaultMemberUniqueName="[Table1].[Quantity].[All]" allUniqueName="[Table1].[Quantity].[All]" dimensionUniqueName="[Table1]" displayFolder="" count="0" memberValueDatatype="20" unbalanced="0"/>
    <cacheHierarchy uniqueName="[Table1].[Reorder Level]" caption="Reorder Level" attribute="1" defaultMemberUniqueName="[Table1].[Reorder Level].[All]" allUniqueName="[Table1].[Reorder Level].[All]" dimensionUniqueName="[Table1]" displayFolder="" count="0" memberValueDatatype="20" unbalanced="0"/>
    <cacheHierarchy uniqueName="[Table1].[Stock Status]" caption="Stock Status" attribute="1" defaultMemberUniqueName="[Table1].[Stock Status].[All]" allUniqueName="[Table1].[Stock Status].[All]" dimensionUniqueName="[Table1]" displayFolder="" count="0" memberValueDatatype="130" unbalanced="0"/>
    <cacheHierarchy uniqueName="[Table1].[Unit Price (₹)]" caption="Unit Price (₹)" attribute="1" defaultMemberUniqueName="[Table1].[Unit Price (₹)].[All]" allUniqueName="[Table1].[Unit Price (₹)].[All]" dimensionUniqueName="[Table1]" displayFolder="" count="0" memberValueDatatype="20" unbalanced="0"/>
    <cacheHierarchy uniqueName="[Table1].[Purchase Value (₹)]" caption="Purchase Value (₹)" attribute="1" defaultMemberUniqueName="[Table1].[Purchase Value (₹)].[All]" allUniqueName="[Table1].[Purchase Value (₹)].[All]" dimensionUniqueName="[Table1]" displayFolder="" count="0" memberValueDatatype="5" unbalanced="0"/>
    <cacheHierarchy uniqueName="[Table1].[Sales Qty]" caption="Sales Qty" attribute="1" defaultMemberUniqueName="[Table1].[Sales Qty].[All]" allUniqueName="[Table1].[Sales Qty].[All]" dimensionUniqueName="[Table1]" displayFolder="" count="0" memberValueDatatype="20" unbalanced="0"/>
    <cacheHierarchy uniqueName="[Table1].[Sales Value (₹)]" caption="Sales Value (₹)" attribute="1" defaultMemberUniqueName="[Table1].[Sales Value (₹)].[All]" allUniqueName="[Table1].[Sales Value (₹)].[All]" dimensionUniqueName="[Table1]" displayFolder="" count="0" memberValueDatatype="5" unbalanced="0"/>
    <cacheHierarchy uniqueName="[Table1].[Month]" caption="Month" attribute="1" defaultMemberUniqueName="[Table1].[Month].[All]" allUniqueName="[Table1].[Month].[All]" dimensionUniqueName="[Table1]" displayFolder="" count="0" memberValueDatatype="130" unbalanced="0"/>
    <cacheHierarchy uniqueName="[Table1].[Inventory Value]" caption="Inventory Value" attribute="1" defaultMemberUniqueName="[Table1].[Inventory Value].[All]" allUniqueName="[Table1].[Inventory Value].[All]" dimensionUniqueName="[Table1]" displayFolder="" count="0" memberValueDatatype="20" unbalanced="0"/>
    <cacheHierarchy uniqueName="[Table1].[Reorder QTY]" caption="Reorder QTY" attribute="1" defaultMemberUniqueName="[Table1].[Reorder QTY].[All]" allUniqueName="[Table1].[Reorder QTY].[All]" dimensionUniqueName="[Table1]" displayFolder="" count="0" memberValueDatatype="20" unbalanced="0"/>
    <cacheHierarchy uniqueName="[Table1].[Above Reorder QTY]" caption="Above Reorder QTY" attribute="1" defaultMemberUniqueName="[Table1].[Above Reorder QTY].[All]" allUniqueName="[Table1].[Above Reorder QTY].[All]" dimensionUniqueName="[Table1]" displayFolder="" count="0" memberValueDatatype="20" unbalanced="0"/>
    <cacheHierarchy uniqueName="[Table1].[Above Reorder Inventory Value]" caption="Above Reorder Inventory Value" attribute="1" defaultMemberUniqueName="[Table1].[Above Reorder Inventory Value].[All]" allUniqueName="[Table1].[Above Reorder Inventory Value].[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bove Reorder Inventory Value]" caption="Sum of Above Reorder Inventory Value" measure="1" displayFolder="" measureGroup="Table1"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5"/>
        </ext>
      </extLst>
    </cacheHierarchy>
    <cacheHierarchy uniqueName="[Measures].[Sum of Sales Qty]" caption="Sum of Sales Qty" measure="1" displayFolder="" measureGroup="Table1" count="0" hidden="1">
      <extLst>
        <ext xmlns:x15="http://schemas.microsoft.com/office/spreadsheetml/2010/11/main" uri="{B97F6D7D-B522-45F9-BDA1-12C45D357490}">
          <x15:cacheHierarchy aggregatedColumn="10"/>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1"/>
        </ext>
      </extLst>
    </cacheHierarchy>
    <cacheHierarchy uniqueName="[Measures].[Sum of Purchase Value (₹)]" caption="Sum of Purchase Value (₹)" measure="1" displayFolder="" measureGroup="Table1" count="0" oneField="1" hidden="1">
      <fieldsUsage count="1">
        <fieldUsage x="2"/>
      </fieldsUsage>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5.865246990739" backgroundQuery="1" createdVersion="8" refreshedVersion="8" minRefreshableVersion="3" recordCount="0" supportSubquery="1" supportAdvancedDrill="1" xr:uid="{140956C1-1DCF-43F9-983A-3EEDBA4046A1}">
  <cacheSource type="external" connectionId="1"/>
  <cacheFields count="3">
    <cacheField name="[Table1].[Product].[Product]" caption="Product" numFmtId="0" hierarchy="1" level="1">
      <sharedItems count="10">
        <s v="Air Conditioner 1.5T"/>
        <s v="Laptop Pro 15"/>
        <s v="LED TV 55&quot;"/>
        <s v="Microwave Oven"/>
        <s v="Printer All-in-One"/>
        <s v="Projector HD"/>
        <s v="Refrigerator 250L"/>
        <s v="Smartphone X1"/>
        <s v="Washing Machine"/>
        <s v="Water Purifier"/>
      </sharedItems>
    </cacheField>
    <cacheField name="[Table1].[Warehouse].[Warehouse]" caption="Warehouse" numFmtId="0" hierarchy="3" level="1">
      <sharedItems count="6">
        <s v="BLR Hub"/>
        <s v="CHN Hub"/>
        <s v="HSR Hub"/>
        <s v="HYD Hub"/>
        <s v="KLR Hub"/>
        <s v="MYS Hub"/>
      </sharedItems>
    </cacheField>
    <cacheField name="[Measures].[Sum of Quantity]" caption="Sum of Quantity" numFmtId="0" hierarchy="20" level="32767"/>
  </cacheFields>
  <cacheHierarchies count="24">
    <cacheHierarchy uniqueName="[Table1].[Date]" caption="Date" attribute="1" time="1" defaultMemberUniqueName="[Table1].[Date].[All]" allUniqueName="[Table1].[Date].[All]" dimensionUniqueName="[Table1]" displayFolder="" count="0" memberValueDatatype="7" unbalanced="0"/>
    <cacheHierarchy uniqueName="[Table1].[Product]" caption="Product" attribute="1" defaultMemberUniqueName="[Table1].[Product].[All]" allUniqueName="[Table1].[Product].[All]" dimensionUniqueName="[Table1]" displayFolder="" count="2" memberValueDatatype="130" unbalanced="0">
      <fieldsUsage count="2">
        <fieldUsage x="-1"/>
        <fieldUsage x="0"/>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Warehouse]" caption="Warehouse" attribute="1" defaultMemberUniqueName="[Table1].[Warehouse].[All]" allUniqueName="[Table1].[Warehouse].[All]" dimensionUniqueName="[Table1]" displayFolder="" count="2" memberValueDatatype="130" unbalanced="0">
      <fieldsUsage count="2">
        <fieldUsage x="-1"/>
        <fieldUsage x="1"/>
      </fieldsUsage>
    </cacheHierarchy>
    <cacheHierarchy uniqueName="[Table1].[Supplier]" caption="Supplier" attribute="1" defaultMemberUniqueName="[Table1].[Supplier].[All]" allUniqueName="[Table1].[Supplier].[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Reorder Level]" caption="Reorder Level" attribute="1" defaultMemberUniqueName="[Table1].[Reorder Level].[All]" allUniqueName="[Table1].[Reorder Level].[All]" dimensionUniqueName="[Table1]" displayFolder="" count="0" memberValueDatatype="20" unbalanced="0"/>
    <cacheHierarchy uniqueName="[Table1].[Stock Status]" caption="Stock Status" attribute="1" defaultMemberUniqueName="[Table1].[Stock Status].[All]" allUniqueName="[Table1].[Stock Status].[All]" dimensionUniqueName="[Table1]" displayFolder="" count="2" memberValueDatatype="130" unbalanced="0"/>
    <cacheHierarchy uniqueName="[Table1].[Unit Price (₹)]" caption="Unit Price (₹)" attribute="1" defaultMemberUniqueName="[Table1].[Unit Price (₹)].[All]" allUniqueName="[Table1].[Unit Price (₹)].[All]" dimensionUniqueName="[Table1]" displayFolder="" count="0" memberValueDatatype="20" unbalanced="0"/>
    <cacheHierarchy uniqueName="[Table1].[Purchase Value (₹)]" caption="Purchase Value (₹)" attribute="1" defaultMemberUniqueName="[Table1].[Purchase Value (₹)].[All]" allUniqueName="[Table1].[Purchase Value (₹)].[All]" dimensionUniqueName="[Table1]" displayFolder="" count="0" memberValueDatatype="5" unbalanced="0"/>
    <cacheHierarchy uniqueName="[Table1].[Sales Qty]" caption="Sales Qty" attribute="1" defaultMemberUniqueName="[Table1].[Sales Qty].[All]" allUniqueName="[Table1].[Sales Qty].[All]" dimensionUniqueName="[Table1]" displayFolder="" count="0" memberValueDatatype="20" unbalanced="0"/>
    <cacheHierarchy uniqueName="[Table1].[Sales Value (₹)]" caption="Sales Value (₹)" attribute="1" defaultMemberUniqueName="[Table1].[Sales Value (₹)].[All]" allUniqueName="[Table1].[Sales Value (₹)].[All]" dimensionUniqueName="[Table1]" displayFolder="" count="0" memberValueDatatype="5" unbalanced="0"/>
    <cacheHierarchy uniqueName="[Table1].[Month]" caption="Month" attribute="1" defaultMemberUniqueName="[Table1].[Month].[All]" allUniqueName="[Table1].[Month].[All]" dimensionUniqueName="[Table1]" displayFolder="" count="0" memberValueDatatype="130" unbalanced="0"/>
    <cacheHierarchy uniqueName="[Table1].[Inventory Value]" caption="Inventory Value" attribute="1" defaultMemberUniqueName="[Table1].[Inventory Value].[All]" allUniqueName="[Table1].[Inventory Value].[All]" dimensionUniqueName="[Table1]" displayFolder="" count="0" memberValueDatatype="20" unbalanced="0"/>
    <cacheHierarchy uniqueName="[Table1].[Reorder QTY]" caption="Reorder QTY" attribute="1" defaultMemberUniqueName="[Table1].[Reorder QTY].[All]" allUniqueName="[Table1].[Reorder QTY].[All]" dimensionUniqueName="[Table1]" displayFolder="" count="0" memberValueDatatype="20" unbalanced="0"/>
    <cacheHierarchy uniqueName="[Table1].[Above Reorder QTY]" caption="Above Reorder QTY" attribute="1" defaultMemberUniqueName="[Table1].[Above Reorder QTY].[All]" allUniqueName="[Table1].[Above Reorder QTY].[All]" dimensionUniqueName="[Table1]" displayFolder="" count="0" memberValueDatatype="20" unbalanced="0"/>
    <cacheHierarchy uniqueName="[Table1].[Above Reorder Inventory Value]" caption="Above Reorder Inventory Value" attribute="1" defaultMemberUniqueName="[Table1].[Above Reorder Inventory Value].[All]" allUniqueName="[Table1].[Above Reorder Inventory Value].[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bove Reorder Inventory Value]" caption="Sum of Above Reorder Inventory Value" measure="1" displayFolder="" measureGroup="Table1"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Table1"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Sales Qty]" caption="Sum of Sales Qty" measure="1" displayFolder="" measureGroup="Table1" count="0" hidden="1">
      <extLst>
        <ext xmlns:x15="http://schemas.microsoft.com/office/spreadsheetml/2010/11/main" uri="{B97F6D7D-B522-45F9-BDA1-12C45D357490}">
          <x15:cacheHierarchy aggregatedColumn="10"/>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1"/>
        </ext>
      </extLst>
    </cacheHierarchy>
    <cacheHierarchy uniqueName="[Measures].[Sum of Purchase Value (₹)]" caption="Sum of Purchase Value (₹)" measure="1" displayFolder="" measureGroup="Table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d v="2025-01-01T00:00:00"/>
    <x v="0"/>
    <x v="0"/>
    <x v="0"/>
    <s v="ABC Distributors"/>
    <n v="239"/>
    <n v="31"/>
    <x v="0"/>
    <n v="250"/>
    <n v="18118"/>
    <n v="47"/>
    <n v="11458.98"/>
    <x v="0"/>
    <n v="59750"/>
    <n v="0"/>
    <n v="208"/>
    <m/>
  </r>
  <r>
    <d v="2025-01-02T00:00:00"/>
    <x v="1"/>
    <x v="1"/>
    <x v="1"/>
    <s v="Metro Wholesale"/>
    <n v="204"/>
    <n v="32"/>
    <x v="0"/>
    <n v="2800"/>
    <n v="143935.20000000001"/>
    <n v="46"/>
    <n v="145636.92000000001"/>
    <x v="0"/>
    <n v="571200"/>
    <n v="0"/>
    <n v="172"/>
    <m/>
  </r>
  <r>
    <d v="2025-01-03T00:00:00"/>
    <x v="2"/>
    <x v="2"/>
    <x v="0"/>
    <s v="Greenline Trading"/>
    <n v="245"/>
    <n v="37"/>
    <x v="0"/>
    <n v="18"/>
    <n v="627.44000000000005"/>
    <n v="2"/>
    <n v="38.65"/>
    <x v="0"/>
    <n v="4410"/>
    <n v="0"/>
    <n v="208"/>
    <m/>
  </r>
  <r>
    <d v="2025-01-04T00:00:00"/>
    <x v="3"/>
    <x v="3"/>
    <x v="0"/>
    <s v="Metro Wholesale"/>
    <n v="92"/>
    <n v="40"/>
    <x v="0"/>
    <n v="1100"/>
    <n v="21649.06"/>
    <n v="10"/>
    <n v="10903.63"/>
    <x v="0"/>
    <n v="101200"/>
    <n v="0"/>
    <n v="52"/>
    <m/>
  </r>
  <r>
    <d v="2025-01-05T00:00:00"/>
    <x v="0"/>
    <x v="0"/>
    <x v="2"/>
    <s v="Global Supplies"/>
    <n v="181"/>
    <n v="22"/>
    <x v="0"/>
    <n v="250"/>
    <n v="9802.2999999999993"/>
    <n v="42"/>
    <n v="10866.49"/>
    <x v="0"/>
    <n v="45250"/>
    <n v="0"/>
    <n v="159"/>
    <m/>
  </r>
  <r>
    <d v="2025-01-06T00:00:00"/>
    <x v="4"/>
    <x v="0"/>
    <x v="2"/>
    <s v="National Suppliers"/>
    <n v="127"/>
    <n v="21"/>
    <x v="0"/>
    <n v="8500"/>
    <n v="97945.56"/>
    <n v="27"/>
    <n v="251366.62"/>
    <x v="0"/>
    <n v="1079500"/>
    <n v="0"/>
    <n v="106"/>
    <m/>
  </r>
  <r>
    <d v="2025-01-07T00:00:00"/>
    <x v="5"/>
    <x v="1"/>
    <x v="1"/>
    <s v="Prime Traders"/>
    <n v="62"/>
    <n v="33"/>
    <x v="0"/>
    <n v="3500"/>
    <n v="46007.54"/>
    <n v="12"/>
    <n v="45076.54"/>
    <x v="0"/>
    <n v="217000"/>
    <n v="0"/>
    <n v="29"/>
    <m/>
  </r>
  <r>
    <d v="2025-01-08T00:00:00"/>
    <x v="6"/>
    <x v="0"/>
    <x v="1"/>
    <s v="Global Supplies"/>
    <n v="95"/>
    <n v="50"/>
    <x v="0"/>
    <n v="4500"/>
    <n v="68203.44"/>
    <n v="5"/>
    <n v="22793.48"/>
    <x v="0"/>
    <n v="427500"/>
    <n v="0"/>
    <n v="45"/>
    <m/>
  </r>
  <r>
    <d v="2025-01-09T00:00:00"/>
    <x v="7"/>
    <x v="3"/>
    <x v="0"/>
    <s v="Global Supplies"/>
    <n v="218"/>
    <n v="31"/>
    <x v="0"/>
    <n v="650"/>
    <n v="8759.44"/>
    <n v="52"/>
    <n v="34889.35"/>
    <x v="0"/>
    <n v="141700"/>
    <n v="0"/>
    <n v="187"/>
    <m/>
  </r>
  <r>
    <d v="2025-01-10T00:00:00"/>
    <x v="8"/>
    <x v="3"/>
    <x v="0"/>
    <s v="National Suppliers"/>
    <n v="126"/>
    <n v="16"/>
    <x v="0"/>
    <n v="1400"/>
    <n v="12695.07"/>
    <n v="13"/>
    <n v="18939.87"/>
    <x v="0"/>
    <n v="176400"/>
    <n v="0"/>
    <n v="110"/>
    <m/>
  </r>
  <r>
    <d v="2025-01-11T00:00:00"/>
    <x v="4"/>
    <x v="0"/>
    <x v="2"/>
    <s v="Greenline Trading"/>
    <n v="47"/>
    <n v="40"/>
    <x v="0"/>
    <n v="8500"/>
    <n v="106794.56"/>
    <n v="2"/>
    <n v="17539.73"/>
    <x v="0"/>
    <n v="399500"/>
    <n v="0"/>
    <n v="7"/>
    <m/>
  </r>
  <r>
    <d v="2025-01-12T00:00:00"/>
    <x v="8"/>
    <x v="3"/>
    <x v="3"/>
    <s v="Metro Wholesale"/>
    <n v="99"/>
    <n v="27"/>
    <x v="0"/>
    <n v="1400"/>
    <n v="23676.34"/>
    <n v="11"/>
    <n v="15303.82"/>
    <x v="0"/>
    <n v="138600"/>
    <n v="0"/>
    <n v="72"/>
    <m/>
  </r>
  <r>
    <d v="2025-01-13T00:00:00"/>
    <x v="4"/>
    <x v="0"/>
    <x v="4"/>
    <s v="National Suppliers"/>
    <n v="97"/>
    <n v="50"/>
    <x v="0"/>
    <n v="8500"/>
    <n v="7503.36"/>
    <n v="7"/>
    <n v="57932.04"/>
    <x v="0"/>
    <n v="824500"/>
    <n v="0"/>
    <n v="47"/>
    <m/>
  </r>
  <r>
    <d v="2025-01-14T00:00:00"/>
    <x v="6"/>
    <x v="0"/>
    <x v="4"/>
    <s v="National Suppliers"/>
    <n v="152"/>
    <n v="36"/>
    <x v="0"/>
    <n v="4500"/>
    <n v="145616"/>
    <n v="26"/>
    <n v="130851.24"/>
    <x v="0"/>
    <n v="684000"/>
    <n v="0"/>
    <n v="116"/>
    <m/>
  </r>
  <r>
    <d v="2025-01-15T00:00:00"/>
    <x v="9"/>
    <x v="1"/>
    <x v="0"/>
    <s v="Greenline Trading"/>
    <n v="223"/>
    <n v="34"/>
    <x v="0"/>
    <n v="2200"/>
    <n v="60247.42"/>
    <n v="4"/>
    <n v="10093.450000000001"/>
    <x v="0"/>
    <n v="490600"/>
    <n v="0"/>
    <n v="189"/>
    <m/>
  </r>
  <r>
    <d v="2025-01-16T00:00:00"/>
    <x v="1"/>
    <x v="1"/>
    <x v="5"/>
    <s v="National Suppliers"/>
    <n v="123"/>
    <n v="40"/>
    <x v="0"/>
    <n v="2800"/>
    <n v="27502.560000000001"/>
    <n v="5"/>
    <n v="15925.58"/>
    <x v="0"/>
    <n v="344400"/>
    <n v="0"/>
    <n v="83"/>
    <m/>
  </r>
  <r>
    <d v="2025-01-17T00:00:00"/>
    <x v="8"/>
    <x v="3"/>
    <x v="0"/>
    <s v="Prime Traders"/>
    <n v="215"/>
    <n v="43"/>
    <x v="0"/>
    <n v="1400"/>
    <n v="26652.25"/>
    <n v="9"/>
    <n v="12638.77"/>
    <x v="0"/>
    <n v="301000"/>
    <n v="0"/>
    <n v="172"/>
    <m/>
  </r>
  <r>
    <d v="2025-01-18T00:00:00"/>
    <x v="7"/>
    <x v="3"/>
    <x v="5"/>
    <s v="Star Enterprises"/>
    <n v="123"/>
    <n v="42"/>
    <x v="0"/>
    <n v="650"/>
    <n v="494.83"/>
    <n v="21"/>
    <n v="15328.19"/>
    <x v="0"/>
    <n v="79950"/>
    <n v="0"/>
    <n v="81"/>
    <m/>
  </r>
  <r>
    <d v="2025-01-19T00:00:00"/>
    <x v="10"/>
    <x v="0"/>
    <x v="0"/>
    <s v="National Suppliers"/>
    <n v="9"/>
    <n v="32"/>
    <x v="1"/>
    <n v="6000"/>
    <n v="15634.58"/>
    <n v="1"/>
    <n v="6396.1"/>
    <x v="0"/>
    <n v="54000"/>
    <n v="23"/>
    <n v="0"/>
    <m/>
  </r>
  <r>
    <d v="2025-01-20T00:00:00"/>
    <x v="6"/>
    <x v="0"/>
    <x v="3"/>
    <s v="Metro Wholesale"/>
    <n v="45"/>
    <n v="14"/>
    <x v="0"/>
    <n v="4500"/>
    <n v="32651.69"/>
    <n v="10"/>
    <n v="48762.18"/>
    <x v="0"/>
    <n v="202500"/>
    <n v="0"/>
    <n v="31"/>
    <m/>
  </r>
  <r>
    <d v="2025-01-21T00:00:00"/>
    <x v="0"/>
    <x v="0"/>
    <x v="3"/>
    <s v="Greenline Trading"/>
    <n v="43"/>
    <n v="21"/>
    <x v="0"/>
    <n v="250"/>
    <n v="1199.17"/>
    <n v="9"/>
    <n v="2529.33"/>
    <x v="0"/>
    <n v="10750"/>
    <n v="0"/>
    <n v="22"/>
    <m/>
  </r>
  <r>
    <d v="2025-01-22T00:00:00"/>
    <x v="9"/>
    <x v="1"/>
    <x v="4"/>
    <s v="Greenline Trading"/>
    <n v="159"/>
    <n v="19"/>
    <x v="0"/>
    <n v="2200"/>
    <n v="6087.07"/>
    <n v="11"/>
    <n v="23654.53"/>
    <x v="0"/>
    <n v="349800"/>
    <n v="0"/>
    <n v="140"/>
    <m/>
  </r>
  <r>
    <d v="2025-01-23T00:00:00"/>
    <x v="11"/>
    <x v="2"/>
    <x v="3"/>
    <s v="Greenline Trading"/>
    <n v="44"/>
    <n v="37"/>
    <x v="0"/>
    <n v="45"/>
    <n v="493.57"/>
    <n v="5"/>
    <n v="220.41"/>
    <x v="0"/>
    <n v="1980"/>
    <n v="0"/>
    <n v="7"/>
    <m/>
  </r>
  <r>
    <d v="2025-01-24T00:00:00"/>
    <x v="5"/>
    <x v="1"/>
    <x v="1"/>
    <s v="Star Enterprises"/>
    <n v="57"/>
    <n v="14"/>
    <x v="0"/>
    <n v="3500"/>
    <n v="56253.91"/>
    <n v="12"/>
    <n v="40244.959999999999"/>
    <x v="0"/>
    <n v="199500"/>
    <n v="0"/>
    <n v="43"/>
    <m/>
  </r>
  <r>
    <d v="2025-01-25T00:00:00"/>
    <x v="7"/>
    <x v="3"/>
    <x v="0"/>
    <s v="Star Enterprises"/>
    <n v="69"/>
    <n v="12"/>
    <x v="0"/>
    <n v="650"/>
    <n v="581.21"/>
    <n v="15"/>
    <n v="10832.86"/>
    <x v="0"/>
    <n v="44850"/>
    <n v="0"/>
    <n v="57"/>
    <m/>
  </r>
  <r>
    <d v="2025-01-26T00:00:00"/>
    <x v="1"/>
    <x v="1"/>
    <x v="4"/>
    <s v="Prime Traders"/>
    <n v="218"/>
    <n v="26"/>
    <x v="0"/>
    <n v="2800"/>
    <n v="2488.9699999999998"/>
    <n v="47"/>
    <n v="144206.76"/>
    <x v="0"/>
    <n v="610400"/>
    <n v="0"/>
    <n v="192"/>
    <m/>
  </r>
  <r>
    <d v="2025-01-27T00:00:00"/>
    <x v="10"/>
    <x v="0"/>
    <x v="1"/>
    <s v="Global Supplies"/>
    <n v="103"/>
    <n v="20"/>
    <x v="0"/>
    <n v="6000"/>
    <n v="57076.14"/>
    <n v="16"/>
    <n v="98743.58"/>
    <x v="0"/>
    <n v="618000"/>
    <n v="0"/>
    <n v="83"/>
    <m/>
  </r>
  <r>
    <d v="2025-01-28T00:00:00"/>
    <x v="10"/>
    <x v="0"/>
    <x v="5"/>
    <s v="Greenline Trading"/>
    <n v="35"/>
    <n v="48"/>
    <x v="1"/>
    <n v="6000"/>
    <n v="9245.6"/>
    <n v="4"/>
    <n v="24770.39"/>
    <x v="0"/>
    <n v="210000"/>
    <n v="13"/>
    <n v="0"/>
    <m/>
  </r>
  <r>
    <d v="2025-01-29T00:00:00"/>
    <x v="12"/>
    <x v="4"/>
    <x v="4"/>
    <s v="Star Enterprises"/>
    <n v="94"/>
    <n v="43"/>
    <x v="0"/>
    <n v="850"/>
    <n v="15938.6"/>
    <n v="15"/>
    <n v="12512.79"/>
    <x v="0"/>
    <n v="79900"/>
    <n v="0"/>
    <n v="51"/>
    <m/>
  </r>
  <r>
    <d v="2025-01-30T00:00:00"/>
    <x v="13"/>
    <x v="0"/>
    <x v="4"/>
    <s v="ABC Distributors"/>
    <n v="238"/>
    <n v="29"/>
    <x v="0"/>
    <n v="450"/>
    <n v="18041.439999999999"/>
    <n v="52"/>
    <n v="23174.68"/>
    <x v="0"/>
    <n v="107100"/>
    <n v="0"/>
    <n v="209"/>
    <m/>
  </r>
  <r>
    <d v="2025-01-31T00:00:00"/>
    <x v="7"/>
    <x v="3"/>
    <x v="5"/>
    <s v="Prime Traders"/>
    <n v="199"/>
    <n v="36"/>
    <x v="0"/>
    <n v="650"/>
    <n v="20802.310000000001"/>
    <n v="47"/>
    <n v="29822.77"/>
    <x v="0"/>
    <n v="129350"/>
    <n v="0"/>
    <n v="163"/>
    <m/>
  </r>
  <r>
    <d v="2025-02-01T00:00:00"/>
    <x v="12"/>
    <x v="4"/>
    <x v="3"/>
    <s v="Prime Traders"/>
    <n v="11"/>
    <n v="26"/>
    <x v="1"/>
    <n v="850"/>
    <n v="792.48"/>
    <n v="2"/>
    <n v="1836.84"/>
    <x v="1"/>
    <n v="9350"/>
    <n v="15"/>
    <n v="0"/>
    <m/>
  </r>
  <r>
    <d v="2025-02-02T00:00:00"/>
    <x v="14"/>
    <x v="2"/>
    <x v="0"/>
    <s v="National Suppliers"/>
    <n v="39"/>
    <n v="20"/>
    <x v="0"/>
    <n v="120"/>
    <n v="1378.79"/>
    <n v="9"/>
    <n v="1205.1300000000001"/>
    <x v="1"/>
    <n v="4680"/>
    <n v="0"/>
    <n v="19"/>
    <m/>
  </r>
  <r>
    <d v="2025-02-03T00:00:00"/>
    <x v="2"/>
    <x v="2"/>
    <x v="0"/>
    <s v="Prime Traders"/>
    <n v="211"/>
    <n v="40"/>
    <x v="0"/>
    <n v="18"/>
    <n v="702.79"/>
    <n v="28"/>
    <n v="560.45000000000005"/>
    <x v="1"/>
    <n v="3798"/>
    <n v="0"/>
    <n v="171"/>
    <m/>
  </r>
  <r>
    <d v="2025-02-04T00:00:00"/>
    <x v="4"/>
    <x v="0"/>
    <x v="2"/>
    <s v="Star Enterprises"/>
    <n v="43"/>
    <n v="11"/>
    <x v="0"/>
    <n v="8500"/>
    <n v="13098.53"/>
    <n v="5"/>
    <n v="48341.440000000002"/>
    <x v="1"/>
    <n v="365500"/>
    <n v="0"/>
    <n v="32"/>
    <m/>
  </r>
  <r>
    <d v="2025-02-05T00:00:00"/>
    <x v="3"/>
    <x v="3"/>
    <x v="4"/>
    <s v="National Suppliers"/>
    <n v="74"/>
    <n v="26"/>
    <x v="0"/>
    <n v="1100"/>
    <n v="22040.12"/>
    <n v="15"/>
    <n v="18706.830000000002"/>
    <x v="1"/>
    <n v="81400"/>
    <n v="0"/>
    <n v="48"/>
    <m/>
  </r>
  <r>
    <d v="2025-02-06T00:00:00"/>
    <x v="10"/>
    <x v="0"/>
    <x v="4"/>
    <s v="Global Supplies"/>
    <n v="206"/>
    <n v="46"/>
    <x v="0"/>
    <n v="6000"/>
    <n v="172195.62"/>
    <n v="15"/>
    <n v="95423.72"/>
    <x v="1"/>
    <n v="1236000"/>
    <n v="0"/>
    <n v="160"/>
    <m/>
  </r>
  <r>
    <d v="2025-02-07T00:00:00"/>
    <x v="7"/>
    <x v="3"/>
    <x v="3"/>
    <s v="ABC Distributors"/>
    <n v="188"/>
    <n v="27"/>
    <x v="0"/>
    <n v="650"/>
    <n v="10091.09"/>
    <n v="42"/>
    <n v="27460.78"/>
    <x v="1"/>
    <n v="122200"/>
    <n v="0"/>
    <n v="161"/>
    <m/>
  </r>
  <r>
    <d v="2025-02-08T00:00:00"/>
    <x v="13"/>
    <x v="0"/>
    <x v="1"/>
    <s v="ABC Distributors"/>
    <n v="27"/>
    <n v="34"/>
    <x v="1"/>
    <n v="450"/>
    <n v="1695.08"/>
    <n v="4"/>
    <n v="2014.97"/>
    <x v="1"/>
    <n v="12150"/>
    <n v="7"/>
    <n v="0"/>
    <m/>
  </r>
  <r>
    <d v="2025-02-09T00:00:00"/>
    <x v="10"/>
    <x v="0"/>
    <x v="2"/>
    <s v="Greenline Trading"/>
    <n v="190"/>
    <n v="34"/>
    <x v="0"/>
    <n v="6000"/>
    <n v="149453.78"/>
    <n v="39"/>
    <n v="229923.84"/>
    <x v="1"/>
    <n v="1140000"/>
    <n v="0"/>
    <n v="156"/>
    <m/>
  </r>
  <r>
    <d v="2025-02-10T00:00:00"/>
    <x v="9"/>
    <x v="1"/>
    <x v="1"/>
    <s v="Star Enterprises"/>
    <n v="244"/>
    <n v="30"/>
    <x v="0"/>
    <n v="2200"/>
    <n v="123432.81"/>
    <n v="55"/>
    <n v="116151.8"/>
    <x v="1"/>
    <n v="536800"/>
    <n v="0"/>
    <n v="214"/>
    <m/>
  </r>
  <r>
    <d v="2025-02-11T00:00:00"/>
    <x v="15"/>
    <x v="4"/>
    <x v="0"/>
    <s v="Greenline Trading"/>
    <n v="219"/>
    <n v="28"/>
    <x v="0"/>
    <n v="1500"/>
    <n v="50387.24"/>
    <n v="49"/>
    <n v="75669.919999999998"/>
    <x v="1"/>
    <n v="328500"/>
    <n v="0"/>
    <n v="191"/>
    <m/>
  </r>
  <r>
    <d v="2025-02-12T00:00:00"/>
    <x v="2"/>
    <x v="2"/>
    <x v="0"/>
    <s v="Global Supplies"/>
    <n v="225"/>
    <n v="33"/>
    <x v="0"/>
    <n v="18"/>
    <n v="391.07"/>
    <n v="4"/>
    <n v="71.59"/>
    <x v="1"/>
    <n v="4050"/>
    <n v="0"/>
    <n v="192"/>
    <m/>
  </r>
  <r>
    <d v="2025-02-13T00:00:00"/>
    <x v="13"/>
    <x v="0"/>
    <x v="0"/>
    <s v="Metro Wholesale"/>
    <n v="47"/>
    <n v="32"/>
    <x v="2"/>
    <n v="450"/>
    <n v="6274.84"/>
    <n v="5"/>
    <n v="2247.06"/>
    <x v="1"/>
    <n v="21150"/>
    <n v="0"/>
    <n v="15"/>
    <m/>
  </r>
  <r>
    <d v="2025-02-14T00:00:00"/>
    <x v="9"/>
    <x v="1"/>
    <x v="0"/>
    <s v="Metro Wholesale"/>
    <n v="233"/>
    <n v="29"/>
    <x v="0"/>
    <n v="2200"/>
    <n v="70447.3"/>
    <n v="28"/>
    <n v="66823.600000000006"/>
    <x v="1"/>
    <n v="512600"/>
    <n v="0"/>
    <n v="204"/>
    <m/>
  </r>
  <r>
    <d v="2025-02-15T00:00:00"/>
    <x v="7"/>
    <x v="3"/>
    <x v="2"/>
    <s v="Prime Traders"/>
    <n v="228"/>
    <n v="30"/>
    <x v="0"/>
    <n v="650"/>
    <n v="41703"/>
    <n v="13"/>
    <n v="8689.75"/>
    <x v="1"/>
    <n v="148200"/>
    <n v="0"/>
    <n v="198"/>
    <m/>
  </r>
  <r>
    <d v="2025-02-16T00:00:00"/>
    <x v="15"/>
    <x v="4"/>
    <x v="1"/>
    <s v="Star Enterprises"/>
    <n v="111"/>
    <n v="17"/>
    <x v="0"/>
    <n v="1500"/>
    <n v="2749.47"/>
    <n v="24"/>
    <n v="35728.85"/>
    <x v="1"/>
    <n v="166500"/>
    <n v="0"/>
    <n v="94"/>
    <m/>
  </r>
  <r>
    <d v="2025-02-17T00:00:00"/>
    <x v="16"/>
    <x v="2"/>
    <x v="4"/>
    <s v="Star Enterprises"/>
    <n v="49"/>
    <n v="10"/>
    <x v="0"/>
    <n v="1200"/>
    <n v="3212.17"/>
    <n v="1"/>
    <n v="1329.64"/>
    <x v="1"/>
    <n v="58800"/>
    <n v="0"/>
    <n v="39"/>
    <m/>
  </r>
  <r>
    <d v="2025-02-18T00:00:00"/>
    <x v="7"/>
    <x v="3"/>
    <x v="0"/>
    <s v="Star Enterprises"/>
    <n v="93"/>
    <n v="32"/>
    <x v="0"/>
    <n v="650"/>
    <n v="5025.7299999999996"/>
    <n v="13"/>
    <n v="8377.42"/>
    <x v="1"/>
    <n v="60450"/>
    <n v="0"/>
    <n v="61"/>
    <m/>
  </r>
  <r>
    <d v="2025-02-19T00:00:00"/>
    <x v="17"/>
    <x v="1"/>
    <x v="2"/>
    <s v="ABC Distributors"/>
    <n v="72"/>
    <n v="44"/>
    <x v="0"/>
    <n v="1200"/>
    <n v="17021.27"/>
    <n v="6"/>
    <n v="7981.34"/>
    <x v="1"/>
    <n v="86400"/>
    <n v="0"/>
    <n v="28"/>
    <m/>
  </r>
  <r>
    <d v="2025-02-20T00:00:00"/>
    <x v="16"/>
    <x v="2"/>
    <x v="0"/>
    <s v="Star Enterprises"/>
    <n v="123"/>
    <n v="11"/>
    <x v="0"/>
    <n v="1200"/>
    <n v="20155.349999999999"/>
    <n v="20"/>
    <n v="25047.98"/>
    <x v="1"/>
    <n v="147600"/>
    <n v="0"/>
    <n v="112"/>
    <m/>
  </r>
  <r>
    <d v="2025-02-21T00:00:00"/>
    <x v="14"/>
    <x v="2"/>
    <x v="0"/>
    <s v="Greenline Trading"/>
    <n v="231"/>
    <n v="25"/>
    <x v="0"/>
    <n v="120"/>
    <n v="5302.86"/>
    <n v="38"/>
    <n v="5039.6000000000004"/>
    <x v="1"/>
    <n v="27720"/>
    <n v="0"/>
    <n v="206"/>
    <m/>
  </r>
  <r>
    <d v="2025-02-22T00:00:00"/>
    <x v="3"/>
    <x v="3"/>
    <x v="0"/>
    <s v="Greenline Trading"/>
    <n v="169"/>
    <n v="30"/>
    <x v="0"/>
    <n v="1100"/>
    <n v="48295.42"/>
    <n v="19"/>
    <n v="20805.87"/>
    <x v="1"/>
    <n v="185900"/>
    <n v="0"/>
    <n v="139"/>
    <m/>
  </r>
  <r>
    <d v="2025-02-23T00:00:00"/>
    <x v="0"/>
    <x v="0"/>
    <x v="3"/>
    <s v="Metro Wholesale"/>
    <n v="16"/>
    <n v="31"/>
    <x v="2"/>
    <n v="250"/>
    <n v="826.72"/>
    <n v="1"/>
    <n v="240.78"/>
    <x v="1"/>
    <n v="4000"/>
    <n v="15"/>
    <n v="0"/>
    <m/>
  </r>
  <r>
    <d v="2025-02-24T00:00:00"/>
    <x v="7"/>
    <x v="3"/>
    <x v="3"/>
    <s v="Metro Wholesale"/>
    <n v="18"/>
    <n v="23"/>
    <x v="2"/>
    <n v="650"/>
    <n v="1677.26"/>
    <n v="4"/>
    <n v="2679.67"/>
    <x v="1"/>
    <n v="11700"/>
    <n v="5"/>
    <n v="0"/>
    <m/>
  </r>
  <r>
    <d v="2025-02-25T00:00:00"/>
    <x v="16"/>
    <x v="2"/>
    <x v="4"/>
    <s v="ABC Distributors"/>
    <n v="124"/>
    <n v="18"/>
    <x v="0"/>
    <n v="1200"/>
    <n v="13739.94"/>
    <n v="17"/>
    <n v="21495.11"/>
    <x v="1"/>
    <n v="148800"/>
    <n v="0"/>
    <n v="106"/>
    <m/>
  </r>
  <r>
    <d v="2025-02-26T00:00:00"/>
    <x v="0"/>
    <x v="0"/>
    <x v="1"/>
    <s v="Star Enterprises"/>
    <n v="131"/>
    <n v="49"/>
    <x v="0"/>
    <n v="250"/>
    <n v="5571.45"/>
    <n v="17"/>
    <n v="4857.68"/>
    <x v="1"/>
    <n v="32750"/>
    <n v="0"/>
    <n v="82"/>
    <m/>
  </r>
  <r>
    <d v="2025-02-27T00:00:00"/>
    <x v="18"/>
    <x v="2"/>
    <x v="1"/>
    <s v="Star Enterprises"/>
    <n v="53"/>
    <n v="21"/>
    <x v="0"/>
    <n v="3000"/>
    <n v="2467.5500000000002"/>
    <n v="11"/>
    <n v="31788.27"/>
    <x v="1"/>
    <n v="159000"/>
    <n v="0"/>
    <n v="32"/>
    <m/>
  </r>
  <r>
    <d v="2025-02-28T00:00:00"/>
    <x v="18"/>
    <x v="2"/>
    <x v="5"/>
    <s v="Greenline Trading"/>
    <n v="42"/>
    <n v="44"/>
    <x v="2"/>
    <n v="3000"/>
    <n v="38980.42"/>
    <n v="9"/>
    <n v="28855.4"/>
    <x v="1"/>
    <n v="126000"/>
    <n v="2"/>
    <n v="0"/>
    <m/>
  </r>
  <r>
    <d v="2025-03-01T00:00:00"/>
    <x v="6"/>
    <x v="0"/>
    <x v="1"/>
    <s v="Metro Wholesale"/>
    <n v="30"/>
    <n v="49"/>
    <x v="2"/>
    <n v="4500"/>
    <n v="23636.42"/>
    <n v="1"/>
    <n v="4476.4399999999996"/>
    <x v="2"/>
    <n v="135000"/>
    <n v="19"/>
    <n v="0"/>
    <m/>
  </r>
  <r>
    <d v="2025-03-02T00:00:00"/>
    <x v="12"/>
    <x v="4"/>
    <x v="1"/>
    <s v="National Suppliers"/>
    <n v="105"/>
    <n v="27"/>
    <x v="0"/>
    <n v="850"/>
    <n v="11204.6"/>
    <n v="2"/>
    <n v="1744.52"/>
    <x v="2"/>
    <n v="89250"/>
    <n v="0"/>
    <n v="78"/>
    <m/>
  </r>
  <r>
    <d v="2025-03-03T00:00:00"/>
    <x v="6"/>
    <x v="0"/>
    <x v="0"/>
    <s v="Metro Wholesale"/>
    <n v="161"/>
    <n v="19"/>
    <x v="0"/>
    <n v="4500"/>
    <n v="45403.21"/>
    <n v="38"/>
    <n v="185988.99"/>
    <x v="2"/>
    <n v="724500"/>
    <n v="0"/>
    <n v="142"/>
    <m/>
  </r>
  <r>
    <d v="2025-03-04T00:00:00"/>
    <x v="18"/>
    <x v="2"/>
    <x v="1"/>
    <s v="National Suppliers"/>
    <n v="202"/>
    <n v="43"/>
    <x v="0"/>
    <n v="3000"/>
    <n v="37048.160000000003"/>
    <n v="1"/>
    <n v="3087.7"/>
    <x v="2"/>
    <n v="606000"/>
    <n v="0"/>
    <n v="159"/>
    <m/>
  </r>
  <r>
    <d v="2025-03-05T00:00:00"/>
    <x v="12"/>
    <x v="4"/>
    <x v="4"/>
    <s v="Star Enterprises"/>
    <n v="132"/>
    <n v="42"/>
    <x v="0"/>
    <n v="850"/>
    <n v="26269.32"/>
    <n v="20"/>
    <n v="16445.68"/>
    <x v="2"/>
    <n v="112200"/>
    <n v="0"/>
    <n v="90"/>
    <m/>
  </r>
  <r>
    <d v="2025-03-06T00:00:00"/>
    <x v="15"/>
    <x v="4"/>
    <x v="4"/>
    <s v="Metro Wholesale"/>
    <n v="69"/>
    <n v="17"/>
    <x v="0"/>
    <n v="1500"/>
    <n v="24996.49"/>
    <n v="17"/>
    <n v="28420.26"/>
    <x v="2"/>
    <n v="103500"/>
    <n v="0"/>
    <n v="52"/>
    <m/>
  </r>
  <r>
    <d v="2025-03-07T00:00:00"/>
    <x v="0"/>
    <x v="0"/>
    <x v="1"/>
    <s v="ABC Distributors"/>
    <n v="21"/>
    <n v="16"/>
    <x v="0"/>
    <n v="250"/>
    <n v="849.65"/>
    <n v="3"/>
    <n v="724.06"/>
    <x v="2"/>
    <n v="5250"/>
    <n v="0"/>
    <n v="5"/>
    <m/>
  </r>
  <r>
    <d v="2025-03-08T00:00:00"/>
    <x v="8"/>
    <x v="3"/>
    <x v="3"/>
    <s v="National Suppliers"/>
    <n v="37"/>
    <n v="17"/>
    <x v="0"/>
    <n v="1400"/>
    <n v="4468.74"/>
    <n v="1"/>
    <n v="1353.35"/>
    <x v="2"/>
    <n v="51800"/>
    <n v="0"/>
    <n v="20"/>
    <m/>
  </r>
  <r>
    <d v="2025-03-09T00:00:00"/>
    <x v="4"/>
    <x v="0"/>
    <x v="0"/>
    <s v="ABC Distributors"/>
    <n v="79"/>
    <n v="25"/>
    <x v="0"/>
    <n v="8500"/>
    <n v="51043.77"/>
    <n v="7"/>
    <n v="63898.11"/>
    <x v="2"/>
    <n v="671500"/>
    <n v="0"/>
    <n v="54"/>
    <m/>
  </r>
  <r>
    <d v="2025-03-10T00:00:00"/>
    <x v="17"/>
    <x v="1"/>
    <x v="0"/>
    <s v="National Suppliers"/>
    <n v="226"/>
    <n v="47"/>
    <x v="0"/>
    <n v="1200"/>
    <n v="19967.62"/>
    <n v="20"/>
    <n v="24832"/>
    <x v="2"/>
    <n v="271200"/>
    <n v="0"/>
    <n v="179"/>
    <m/>
  </r>
  <r>
    <d v="2025-03-11T00:00:00"/>
    <x v="9"/>
    <x v="1"/>
    <x v="4"/>
    <s v="Prime Traders"/>
    <n v="28"/>
    <n v="47"/>
    <x v="2"/>
    <n v="2200"/>
    <n v="1787.65"/>
    <n v="4"/>
    <n v="8467.19"/>
    <x v="2"/>
    <n v="61600"/>
    <n v="19"/>
    <n v="0"/>
    <m/>
  </r>
  <r>
    <d v="2025-03-12T00:00:00"/>
    <x v="6"/>
    <x v="0"/>
    <x v="4"/>
    <s v="Metro Wholesale"/>
    <n v="41"/>
    <n v="33"/>
    <x v="0"/>
    <n v="4500"/>
    <n v="12207.98"/>
    <n v="4"/>
    <n v="20394.5"/>
    <x v="2"/>
    <n v="184500"/>
    <n v="0"/>
    <n v="8"/>
    <m/>
  </r>
  <r>
    <d v="2025-03-13T00:00:00"/>
    <x v="6"/>
    <x v="0"/>
    <x v="1"/>
    <s v="Global Supplies"/>
    <n v="240"/>
    <n v="34"/>
    <x v="0"/>
    <n v="4500"/>
    <n v="214949.52"/>
    <n v="52"/>
    <n v="224473.86"/>
    <x v="2"/>
    <n v="1080000"/>
    <n v="0"/>
    <n v="206"/>
    <m/>
  </r>
  <r>
    <d v="2025-03-14T00:00:00"/>
    <x v="2"/>
    <x v="2"/>
    <x v="0"/>
    <s v="Prime Traders"/>
    <n v="104"/>
    <n v="43"/>
    <x v="2"/>
    <n v="18"/>
    <n v="544.54"/>
    <n v="6"/>
    <n v="104.8"/>
    <x v="2"/>
    <n v="1872"/>
    <n v="0"/>
    <n v="61"/>
    <m/>
  </r>
  <r>
    <d v="2025-03-15T00:00:00"/>
    <x v="5"/>
    <x v="1"/>
    <x v="4"/>
    <s v="ABC Distributors"/>
    <n v="139"/>
    <n v="16"/>
    <x v="2"/>
    <n v="3500"/>
    <n v="17334.919999999998"/>
    <n v="19"/>
    <n v="68674.78"/>
    <x v="2"/>
    <n v="486500"/>
    <n v="0"/>
    <n v="123"/>
    <m/>
  </r>
  <r>
    <d v="2025-03-16T00:00:00"/>
    <x v="15"/>
    <x v="4"/>
    <x v="3"/>
    <s v="Global Supplies"/>
    <n v="27"/>
    <n v="30"/>
    <x v="2"/>
    <n v="1500"/>
    <n v="4871.68"/>
    <n v="1"/>
    <n v="1682.63"/>
    <x v="2"/>
    <n v="40500"/>
    <n v="3"/>
    <n v="0"/>
    <m/>
  </r>
  <r>
    <d v="2025-03-17T00:00:00"/>
    <x v="10"/>
    <x v="0"/>
    <x v="0"/>
    <s v="National Suppliers"/>
    <n v="118"/>
    <n v="41"/>
    <x v="2"/>
    <n v="6000"/>
    <n v="124993.65"/>
    <n v="3"/>
    <n v="19301.45"/>
    <x v="2"/>
    <n v="708000"/>
    <n v="0"/>
    <n v="77"/>
    <m/>
  </r>
  <r>
    <d v="2025-03-18T00:00:00"/>
    <x v="5"/>
    <x v="1"/>
    <x v="0"/>
    <s v="Star Enterprises"/>
    <n v="112"/>
    <n v="20"/>
    <x v="2"/>
    <n v="3500"/>
    <n v="82828.960000000006"/>
    <n v="9"/>
    <n v="30624.16"/>
    <x v="2"/>
    <n v="392000"/>
    <n v="0"/>
    <n v="92"/>
    <m/>
  </r>
  <r>
    <d v="2025-03-19T00:00:00"/>
    <x v="12"/>
    <x v="4"/>
    <x v="1"/>
    <s v="Global Supplies"/>
    <n v="134"/>
    <n v="41"/>
    <x v="2"/>
    <n v="850"/>
    <n v="26849.58"/>
    <n v="12"/>
    <n v="10883.26"/>
    <x v="2"/>
    <n v="113900"/>
    <n v="0"/>
    <n v="93"/>
    <m/>
  </r>
  <r>
    <d v="2025-03-20T00:00:00"/>
    <x v="5"/>
    <x v="1"/>
    <x v="5"/>
    <s v="Metro Wholesale"/>
    <n v="203"/>
    <n v="15"/>
    <x v="2"/>
    <n v="3500"/>
    <n v="162086.07"/>
    <n v="7"/>
    <n v="25524.04"/>
    <x v="2"/>
    <n v="710500"/>
    <n v="0"/>
    <n v="188"/>
    <m/>
  </r>
  <r>
    <d v="2025-03-21T00:00:00"/>
    <x v="10"/>
    <x v="0"/>
    <x v="3"/>
    <s v="National Suppliers"/>
    <n v="52"/>
    <n v="10"/>
    <x v="2"/>
    <n v="6000"/>
    <n v="49877.55"/>
    <n v="11"/>
    <n v="72888.23"/>
    <x v="2"/>
    <n v="312000"/>
    <n v="0"/>
    <n v="42"/>
    <m/>
  </r>
  <r>
    <d v="2025-03-22T00:00:00"/>
    <x v="16"/>
    <x v="2"/>
    <x v="3"/>
    <s v="National Suppliers"/>
    <n v="76"/>
    <n v="14"/>
    <x v="2"/>
    <n v="1200"/>
    <n v="22445.5"/>
    <n v="6"/>
    <n v="7664.78"/>
    <x v="2"/>
    <n v="91200"/>
    <n v="0"/>
    <n v="62"/>
    <m/>
  </r>
  <r>
    <d v="2025-03-23T00:00:00"/>
    <x v="5"/>
    <x v="1"/>
    <x v="0"/>
    <s v="ABC Distributors"/>
    <n v="157"/>
    <n v="38"/>
    <x v="2"/>
    <n v="3500"/>
    <n v="72402.3"/>
    <n v="38"/>
    <n v="143897.75"/>
    <x v="2"/>
    <n v="549500"/>
    <n v="0"/>
    <n v="119"/>
    <m/>
  </r>
  <r>
    <d v="2025-03-24T00:00:00"/>
    <x v="2"/>
    <x v="2"/>
    <x v="0"/>
    <s v="ABC Distributors"/>
    <n v="40"/>
    <n v="10"/>
    <x v="2"/>
    <n v="18"/>
    <n v="153.77000000000001"/>
    <n v="8"/>
    <n v="156.59"/>
    <x v="2"/>
    <n v="720"/>
    <n v="0"/>
    <n v="30"/>
    <m/>
  </r>
  <r>
    <d v="2025-03-25T00:00:00"/>
    <x v="4"/>
    <x v="0"/>
    <x v="5"/>
    <s v="Global Supplies"/>
    <n v="70"/>
    <n v="32"/>
    <x v="2"/>
    <n v="8500"/>
    <n v="156830.19"/>
    <n v="13"/>
    <n v="117922.57"/>
    <x v="2"/>
    <n v="595000"/>
    <n v="0"/>
    <n v="38"/>
    <m/>
  </r>
  <r>
    <d v="2025-03-26T00:00:00"/>
    <x v="11"/>
    <x v="2"/>
    <x v="4"/>
    <s v="Metro Wholesale"/>
    <n v="250"/>
    <n v="39"/>
    <x v="2"/>
    <n v="45"/>
    <n v="466.36"/>
    <n v="16"/>
    <n v="779.47"/>
    <x v="2"/>
    <n v="11250"/>
    <n v="0"/>
    <n v="211"/>
    <m/>
  </r>
  <r>
    <d v="2025-03-27T00:00:00"/>
    <x v="6"/>
    <x v="0"/>
    <x v="4"/>
    <s v="ABC Distributors"/>
    <n v="194"/>
    <n v="22"/>
    <x v="0"/>
    <n v="4500"/>
    <n v="185839.24"/>
    <n v="24"/>
    <n v="109581.19"/>
    <x v="2"/>
    <n v="873000"/>
    <n v="0"/>
    <n v="172"/>
    <m/>
  </r>
  <r>
    <d v="2025-03-28T00:00:00"/>
    <x v="3"/>
    <x v="3"/>
    <x v="3"/>
    <s v="Prime Traders"/>
    <n v="45"/>
    <n v="25"/>
    <x v="0"/>
    <n v="1100"/>
    <n v="9092.19"/>
    <n v="2"/>
    <n v="2302.39"/>
    <x v="2"/>
    <n v="49500"/>
    <n v="0"/>
    <n v="20"/>
    <m/>
  </r>
  <r>
    <d v="2025-03-29T00:00:00"/>
    <x v="11"/>
    <x v="2"/>
    <x v="0"/>
    <s v="Metro Wholesale"/>
    <n v="185"/>
    <n v="13"/>
    <x v="0"/>
    <n v="45"/>
    <n v="2438.88"/>
    <n v="44"/>
    <n v="2087.1"/>
    <x v="2"/>
    <n v="8325"/>
    <n v="0"/>
    <n v="172"/>
    <m/>
  </r>
  <r>
    <d v="2025-03-30T00:00:00"/>
    <x v="1"/>
    <x v="1"/>
    <x v="0"/>
    <s v="Global Supplies"/>
    <n v="30"/>
    <n v="11"/>
    <x v="0"/>
    <n v="2800"/>
    <n v="20817.310000000001"/>
    <n v="3"/>
    <n v="9283.0300000000007"/>
    <x v="2"/>
    <n v="84000"/>
    <n v="0"/>
    <n v="19"/>
    <m/>
  </r>
  <r>
    <d v="2025-03-31T00:00:00"/>
    <x v="16"/>
    <x v="2"/>
    <x v="0"/>
    <s v="Prime Traders"/>
    <n v="40"/>
    <n v="22"/>
    <x v="0"/>
    <n v="1200"/>
    <n v="10222.31"/>
    <n v="10"/>
    <n v="12255.11"/>
    <x v="2"/>
    <n v="48000"/>
    <n v="0"/>
    <n v="18"/>
    <m/>
  </r>
  <r>
    <d v="2025-04-01T00:00:00"/>
    <x v="8"/>
    <x v="3"/>
    <x v="2"/>
    <s v="Greenline Trading"/>
    <n v="73"/>
    <n v="15"/>
    <x v="0"/>
    <n v="1400"/>
    <n v="22556.41"/>
    <n v="2"/>
    <n v="2705.39"/>
    <x v="3"/>
    <n v="102200"/>
    <n v="0"/>
    <n v="58"/>
    <m/>
  </r>
  <r>
    <d v="2025-04-02T00:00:00"/>
    <x v="2"/>
    <x v="2"/>
    <x v="5"/>
    <s v="Global Supplies"/>
    <n v="155"/>
    <n v="23"/>
    <x v="0"/>
    <n v="18"/>
    <n v="452.52"/>
    <n v="20"/>
    <n v="399.38"/>
    <x v="3"/>
    <n v="2790"/>
    <n v="0"/>
    <n v="132"/>
    <m/>
  </r>
  <r>
    <d v="2025-04-03T00:00:00"/>
    <x v="10"/>
    <x v="0"/>
    <x v="0"/>
    <s v="Metro Wholesale"/>
    <n v="109"/>
    <n v="43"/>
    <x v="0"/>
    <n v="6000"/>
    <n v="114085.54"/>
    <n v="14"/>
    <n v="84320.08"/>
    <x v="3"/>
    <n v="654000"/>
    <n v="0"/>
    <n v="66"/>
    <m/>
  </r>
  <r>
    <d v="2025-04-04T00:00:00"/>
    <x v="15"/>
    <x v="4"/>
    <x v="2"/>
    <s v="Metro Wholesale"/>
    <n v="194"/>
    <n v="38"/>
    <x v="0"/>
    <n v="1500"/>
    <n v="80750.63"/>
    <n v="39"/>
    <n v="64142.6"/>
    <x v="3"/>
    <n v="291000"/>
    <n v="0"/>
    <n v="156"/>
    <m/>
  </r>
  <r>
    <d v="2025-04-05T00:00:00"/>
    <x v="17"/>
    <x v="1"/>
    <x v="4"/>
    <s v="ABC Distributors"/>
    <n v="153"/>
    <n v="29"/>
    <x v="0"/>
    <n v="1200"/>
    <n v="31783.85"/>
    <n v="23"/>
    <n v="28207.96"/>
    <x v="3"/>
    <n v="183600"/>
    <n v="0"/>
    <n v="124"/>
    <m/>
  </r>
  <r>
    <d v="2025-04-06T00:00:00"/>
    <x v="12"/>
    <x v="4"/>
    <x v="4"/>
    <s v="Greenline Trading"/>
    <n v="110"/>
    <n v="26"/>
    <x v="0"/>
    <n v="850"/>
    <n v="16948.93"/>
    <n v="23"/>
    <n v="20137.669999999998"/>
    <x v="3"/>
    <n v="93500"/>
    <n v="0"/>
    <n v="84"/>
    <m/>
  </r>
  <r>
    <d v="2025-04-07T00:00:00"/>
    <x v="13"/>
    <x v="0"/>
    <x v="0"/>
    <s v="Metro Wholesale"/>
    <n v="203"/>
    <n v="18"/>
    <x v="0"/>
    <n v="450"/>
    <n v="26389.42"/>
    <n v="3"/>
    <n v="1475.01"/>
    <x v="3"/>
    <n v="91350"/>
    <n v="0"/>
    <n v="185"/>
    <m/>
  </r>
  <r>
    <d v="2025-04-08T00:00:00"/>
    <x v="17"/>
    <x v="1"/>
    <x v="4"/>
    <s v="Prime Traders"/>
    <n v="125"/>
    <n v="31"/>
    <x v="0"/>
    <n v="1200"/>
    <n v="20831.84"/>
    <n v="27"/>
    <n v="33696.160000000003"/>
    <x v="3"/>
    <n v="150000"/>
    <n v="0"/>
    <n v="94"/>
    <m/>
  </r>
  <r>
    <d v="2025-04-09T00:00:00"/>
    <x v="3"/>
    <x v="3"/>
    <x v="0"/>
    <s v="Greenline Trading"/>
    <n v="248"/>
    <n v="39"/>
    <x v="0"/>
    <n v="1100"/>
    <n v="61622.62"/>
    <n v="10"/>
    <n v="12110.2"/>
    <x v="3"/>
    <n v="272800"/>
    <n v="0"/>
    <n v="209"/>
    <m/>
  </r>
  <r>
    <d v="2025-04-10T00:00:00"/>
    <x v="16"/>
    <x v="2"/>
    <x v="3"/>
    <s v="Greenline Trading"/>
    <n v="235"/>
    <n v="49"/>
    <x v="0"/>
    <n v="1200"/>
    <n v="83459.199999999997"/>
    <n v="24"/>
    <n v="29117.38"/>
    <x v="3"/>
    <n v="282000"/>
    <n v="0"/>
    <n v="186"/>
    <m/>
  </r>
  <r>
    <d v="2025-04-11T00:00:00"/>
    <x v="16"/>
    <x v="2"/>
    <x v="5"/>
    <s v="Greenline Trading"/>
    <n v="145"/>
    <n v="38"/>
    <x v="0"/>
    <n v="1200"/>
    <n v="42181.06"/>
    <n v="6"/>
    <n v="7978.35"/>
    <x v="3"/>
    <n v="174000"/>
    <n v="0"/>
    <n v="107"/>
    <m/>
  </r>
  <r>
    <d v="2025-04-12T00:00:00"/>
    <x v="13"/>
    <x v="0"/>
    <x v="0"/>
    <s v="National Suppliers"/>
    <n v="172"/>
    <n v="24"/>
    <x v="0"/>
    <n v="450"/>
    <n v="2925.73"/>
    <n v="23"/>
    <n v="10912.44"/>
    <x v="3"/>
    <n v="77400"/>
    <n v="0"/>
    <n v="148"/>
    <m/>
  </r>
  <r>
    <d v="2025-04-13T00:00:00"/>
    <x v="9"/>
    <x v="1"/>
    <x v="1"/>
    <s v="ABC Distributors"/>
    <n v="21"/>
    <n v="46"/>
    <x v="2"/>
    <n v="2200"/>
    <n v="9171.2999999999993"/>
    <n v="1"/>
    <n v="2258.58"/>
    <x v="3"/>
    <n v="46200"/>
    <n v="25"/>
    <n v="0"/>
    <m/>
  </r>
  <r>
    <d v="2025-04-14T00:00:00"/>
    <x v="17"/>
    <x v="1"/>
    <x v="0"/>
    <s v="Metro Wholesale"/>
    <n v="198"/>
    <n v="14"/>
    <x v="0"/>
    <n v="1200"/>
    <n v="10703.21"/>
    <n v="10"/>
    <n v="13760.91"/>
    <x v="3"/>
    <n v="237600"/>
    <n v="0"/>
    <n v="184"/>
    <m/>
  </r>
  <r>
    <d v="2025-04-15T00:00:00"/>
    <x v="6"/>
    <x v="0"/>
    <x v="0"/>
    <s v="Prime Traders"/>
    <n v="45"/>
    <n v="27"/>
    <x v="0"/>
    <n v="4500"/>
    <n v="27501.42"/>
    <n v="8"/>
    <n v="35459.14"/>
    <x v="3"/>
    <n v="202500"/>
    <n v="0"/>
    <n v="18"/>
    <m/>
  </r>
  <r>
    <d v="2025-04-16T00:00:00"/>
    <x v="19"/>
    <x v="4"/>
    <x v="3"/>
    <s v="Star Enterprises"/>
    <n v="123"/>
    <n v="23"/>
    <x v="0"/>
    <n v="900"/>
    <n v="2463.25"/>
    <n v="30"/>
    <n v="28254.27"/>
    <x v="3"/>
    <n v="110700"/>
    <n v="0"/>
    <n v="100"/>
    <m/>
  </r>
  <r>
    <d v="2025-04-17T00:00:00"/>
    <x v="0"/>
    <x v="0"/>
    <x v="4"/>
    <s v="Greenline Trading"/>
    <n v="12"/>
    <n v="33"/>
    <x v="2"/>
    <n v="250"/>
    <n v="627.41999999999996"/>
    <n v="3"/>
    <n v="801.85"/>
    <x v="3"/>
    <n v="3000"/>
    <n v="21"/>
    <n v="0"/>
    <m/>
  </r>
  <r>
    <d v="2025-04-18T00:00:00"/>
    <x v="11"/>
    <x v="2"/>
    <x v="4"/>
    <s v="Metro Wholesale"/>
    <n v="187"/>
    <n v="23"/>
    <x v="0"/>
    <n v="45"/>
    <n v="292.82"/>
    <n v="18"/>
    <n v="900.52"/>
    <x v="3"/>
    <n v="8415"/>
    <n v="0"/>
    <n v="164"/>
    <m/>
  </r>
  <r>
    <d v="2025-04-19T00:00:00"/>
    <x v="10"/>
    <x v="0"/>
    <x v="1"/>
    <s v="Global Supplies"/>
    <n v="193"/>
    <n v="38"/>
    <x v="0"/>
    <n v="6000"/>
    <n v="185946.19"/>
    <n v="36"/>
    <n v="222286.25"/>
    <x v="3"/>
    <n v="1158000"/>
    <n v="0"/>
    <n v="155"/>
    <m/>
  </r>
  <r>
    <d v="2025-04-20T00:00:00"/>
    <x v="10"/>
    <x v="0"/>
    <x v="0"/>
    <s v="Global Supplies"/>
    <n v="238"/>
    <n v="46"/>
    <x v="0"/>
    <n v="6000"/>
    <n v="56864.639999999999"/>
    <n v="15"/>
    <n v="96024.03"/>
    <x v="3"/>
    <n v="1428000"/>
    <n v="0"/>
    <n v="192"/>
    <m/>
  </r>
  <r>
    <d v="2025-04-21T00:00:00"/>
    <x v="7"/>
    <x v="3"/>
    <x v="5"/>
    <s v="ABC Distributors"/>
    <n v="130"/>
    <n v="13"/>
    <x v="0"/>
    <n v="650"/>
    <n v="9122.26"/>
    <n v="17"/>
    <n v="10993.9"/>
    <x v="3"/>
    <n v="84500"/>
    <n v="0"/>
    <n v="117"/>
    <m/>
  </r>
  <r>
    <d v="2025-04-22T00:00:00"/>
    <x v="13"/>
    <x v="0"/>
    <x v="0"/>
    <s v="ABC Distributors"/>
    <n v="243"/>
    <n v="29"/>
    <x v="0"/>
    <n v="450"/>
    <n v="23872.11"/>
    <n v="43"/>
    <n v="20161.45"/>
    <x v="3"/>
    <n v="109350"/>
    <n v="0"/>
    <n v="214"/>
    <m/>
  </r>
  <r>
    <d v="2025-04-23T00:00:00"/>
    <x v="3"/>
    <x v="3"/>
    <x v="0"/>
    <s v="ABC Distributors"/>
    <n v="217"/>
    <n v="39"/>
    <x v="0"/>
    <n v="1100"/>
    <n v="54899.24"/>
    <n v="28"/>
    <n v="35264.99"/>
    <x v="3"/>
    <n v="238700"/>
    <n v="0"/>
    <n v="178"/>
    <m/>
  </r>
  <r>
    <d v="2025-04-24T00:00:00"/>
    <x v="12"/>
    <x v="4"/>
    <x v="2"/>
    <s v="Star Enterprises"/>
    <n v="226"/>
    <n v="40"/>
    <x v="0"/>
    <n v="850"/>
    <n v="20364.18"/>
    <n v="2"/>
    <n v="1773.87"/>
    <x v="3"/>
    <n v="192100"/>
    <n v="0"/>
    <n v="186"/>
    <m/>
  </r>
  <r>
    <d v="2025-04-25T00:00:00"/>
    <x v="4"/>
    <x v="0"/>
    <x v="2"/>
    <s v="Greenline Trading"/>
    <n v="119"/>
    <n v="13"/>
    <x v="0"/>
    <n v="8500"/>
    <n v="182735.92"/>
    <n v="1"/>
    <n v="9760.8799999999992"/>
    <x v="3"/>
    <n v="1011500"/>
    <n v="0"/>
    <n v="106"/>
    <m/>
  </r>
  <r>
    <d v="2025-04-26T00:00:00"/>
    <x v="15"/>
    <x v="4"/>
    <x v="0"/>
    <s v="Greenline Trading"/>
    <n v="18"/>
    <n v="17"/>
    <x v="0"/>
    <n v="1500"/>
    <n v="2701.27"/>
    <n v="3"/>
    <n v="4736.59"/>
    <x v="3"/>
    <n v="27000"/>
    <n v="0"/>
    <n v="1"/>
    <m/>
  </r>
  <r>
    <d v="2025-04-27T00:00:00"/>
    <x v="17"/>
    <x v="1"/>
    <x v="4"/>
    <s v="Metro Wholesale"/>
    <n v="165"/>
    <n v="31"/>
    <x v="0"/>
    <n v="1200"/>
    <n v="54700.82"/>
    <n v="13"/>
    <n v="16392.13"/>
    <x v="3"/>
    <n v="198000"/>
    <n v="0"/>
    <n v="134"/>
    <m/>
  </r>
  <r>
    <d v="2025-04-28T00:00:00"/>
    <x v="1"/>
    <x v="1"/>
    <x v="3"/>
    <s v="Prime Traders"/>
    <n v="92"/>
    <n v="20"/>
    <x v="0"/>
    <n v="2800"/>
    <n v="37036.46"/>
    <n v="1"/>
    <n v="3128.51"/>
    <x v="3"/>
    <n v="257600"/>
    <n v="0"/>
    <n v="72"/>
    <m/>
  </r>
  <r>
    <d v="2025-04-29T00:00:00"/>
    <x v="14"/>
    <x v="2"/>
    <x v="0"/>
    <s v="National Suppliers"/>
    <n v="237"/>
    <n v="13"/>
    <x v="2"/>
    <n v="120"/>
    <n v="6571.57"/>
    <n v="26"/>
    <n v="3074.55"/>
    <x v="3"/>
    <n v="28440"/>
    <n v="0"/>
    <n v="224"/>
    <m/>
  </r>
  <r>
    <d v="2025-04-30T00:00:00"/>
    <x v="7"/>
    <x v="3"/>
    <x v="1"/>
    <s v="Star Enterprises"/>
    <n v="117"/>
    <n v="32"/>
    <x v="2"/>
    <n v="650"/>
    <n v="2598.42"/>
    <n v="11"/>
    <n v="6881.91"/>
    <x v="3"/>
    <n v="76050"/>
    <n v="0"/>
    <n v="85"/>
    <m/>
  </r>
  <r>
    <d v="2025-05-01T00:00:00"/>
    <x v="10"/>
    <x v="0"/>
    <x v="2"/>
    <s v="Prime Traders"/>
    <n v="195"/>
    <n v="45"/>
    <x v="2"/>
    <n v="6000"/>
    <n v="238500.74"/>
    <n v="41"/>
    <n v="254195.04"/>
    <x v="4"/>
    <n v="1170000"/>
    <n v="0"/>
    <n v="150"/>
    <m/>
  </r>
  <r>
    <d v="2025-05-02T00:00:00"/>
    <x v="19"/>
    <x v="4"/>
    <x v="0"/>
    <s v="Greenline Trading"/>
    <n v="162"/>
    <n v="31"/>
    <x v="2"/>
    <n v="900"/>
    <n v="11786.97"/>
    <n v="26"/>
    <n v="24123.74"/>
    <x v="4"/>
    <n v="145800"/>
    <n v="0"/>
    <n v="131"/>
    <m/>
  </r>
  <r>
    <d v="2025-05-03T00:00:00"/>
    <x v="13"/>
    <x v="0"/>
    <x v="3"/>
    <s v="Greenline Trading"/>
    <n v="32"/>
    <n v="16"/>
    <x v="2"/>
    <n v="450"/>
    <n v="1274.8599999999999"/>
    <n v="5"/>
    <n v="2519.5100000000002"/>
    <x v="4"/>
    <n v="14400"/>
    <n v="0"/>
    <n v="16"/>
    <m/>
  </r>
  <r>
    <d v="2025-05-04T00:00:00"/>
    <x v="13"/>
    <x v="0"/>
    <x v="2"/>
    <s v="Star Enterprises"/>
    <n v="57"/>
    <n v="41"/>
    <x v="2"/>
    <n v="450"/>
    <n v="4602.6499999999996"/>
    <n v="6"/>
    <n v="2825.98"/>
    <x v="4"/>
    <n v="25650"/>
    <n v="0"/>
    <n v="16"/>
    <m/>
  </r>
  <r>
    <d v="2025-05-05T00:00:00"/>
    <x v="0"/>
    <x v="0"/>
    <x v="2"/>
    <s v="Metro Wholesale"/>
    <n v="123"/>
    <n v="32"/>
    <x v="2"/>
    <n v="250"/>
    <n v="5129.3999999999996"/>
    <n v="16"/>
    <n v="4321.49"/>
    <x v="4"/>
    <n v="30750"/>
    <n v="0"/>
    <n v="91"/>
    <m/>
  </r>
  <r>
    <d v="2025-05-06T00:00:00"/>
    <x v="17"/>
    <x v="1"/>
    <x v="0"/>
    <s v="National Suppliers"/>
    <n v="21"/>
    <n v="26"/>
    <x v="1"/>
    <n v="1200"/>
    <n v="6354.43"/>
    <n v="2"/>
    <n v="2697.9"/>
    <x v="4"/>
    <n v="25200"/>
    <n v="5"/>
    <n v="0"/>
    <m/>
  </r>
  <r>
    <d v="2025-05-07T00:00:00"/>
    <x v="4"/>
    <x v="0"/>
    <x v="2"/>
    <s v="Metro Wholesale"/>
    <n v="158"/>
    <n v="16"/>
    <x v="2"/>
    <n v="8500"/>
    <n v="166545.62"/>
    <n v="4"/>
    <n v="37362.21"/>
    <x v="4"/>
    <n v="1343000"/>
    <n v="0"/>
    <n v="142"/>
    <m/>
  </r>
  <r>
    <d v="2025-05-08T00:00:00"/>
    <x v="14"/>
    <x v="2"/>
    <x v="5"/>
    <s v="Prime Traders"/>
    <n v="33"/>
    <n v="46"/>
    <x v="1"/>
    <n v="120"/>
    <n v="1072.7"/>
    <n v="8"/>
    <n v="980.9"/>
    <x v="4"/>
    <n v="3960"/>
    <n v="13"/>
    <n v="0"/>
    <m/>
  </r>
  <r>
    <d v="2025-05-09T00:00:00"/>
    <x v="4"/>
    <x v="0"/>
    <x v="4"/>
    <s v="Prime Traders"/>
    <n v="249"/>
    <n v="25"/>
    <x v="2"/>
    <n v="8500"/>
    <n v="342988.49"/>
    <n v="9"/>
    <n v="84676.64"/>
    <x v="4"/>
    <n v="2116500"/>
    <n v="0"/>
    <n v="224"/>
    <m/>
  </r>
  <r>
    <d v="2025-05-10T00:00:00"/>
    <x v="16"/>
    <x v="2"/>
    <x v="2"/>
    <s v="Greenline Trading"/>
    <n v="31"/>
    <n v="35"/>
    <x v="1"/>
    <n v="1200"/>
    <n v="2250.27"/>
    <n v="1"/>
    <n v="1360.24"/>
    <x v="4"/>
    <n v="37200"/>
    <n v="4"/>
    <n v="0"/>
    <m/>
  </r>
  <r>
    <d v="2025-05-11T00:00:00"/>
    <x v="13"/>
    <x v="0"/>
    <x v="2"/>
    <s v="Metro Wholesale"/>
    <n v="152"/>
    <n v="33"/>
    <x v="2"/>
    <n v="450"/>
    <n v="6021.48"/>
    <n v="32"/>
    <n v="14004"/>
    <x v="4"/>
    <n v="68400"/>
    <n v="0"/>
    <n v="119"/>
    <m/>
  </r>
  <r>
    <d v="2025-05-12T00:00:00"/>
    <x v="15"/>
    <x v="4"/>
    <x v="2"/>
    <s v="Greenline Trading"/>
    <n v="92"/>
    <n v="20"/>
    <x v="2"/>
    <n v="1500"/>
    <n v="13642.5"/>
    <n v="2"/>
    <n v="2872.04"/>
    <x v="4"/>
    <n v="138000"/>
    <n v="0"/>
    <n v="72"/>
    <m/>
  </r>
  <r>
    <d v="2025-05-13T00:00:00"/>
    <x v="5"/>
    <x v="1"/>
    <x v="2"/>
    <s v="Greenline Trading"/>
    <n v="250"/>
    <n v="28"/>
    <x v="2"/>
    <n v="3500"/>
    <n v="39361.230000000003"/>
    <n v="54"/>
    <n v="180386.95"/>
    <x v="4"/>
    <n v="875000"/>
    <n v="0"/>
    <n v="222"/>
    <m/>
  </r>
  <r>
    <d v="2025-05-14T00:00:00"/>
    <x v="17"/>
    <x v="1"/>
    <x v="3"/>
    <s v="Prime Traders"/>
    <n v="172"/>
    <n v="16"/>
    <x v="2"/>
    <n v="1200"/>
    <n v="55323.1"/>
    <n v="28"/>
    <n v="35372.120000000003"/>
    <x v="4"/>
    <n v="206400"/>
    <n v="0"/>
    <n v="156"/>
    <m/>
  </r>
  <r>
    <d v="2025-05-15T00:00:00"/>
    <x v="1"/>
    <x v="1"/>
    <x v="1"/>
    <s v="Greenline Trading"/>
    <n v="17"/>
    <n v="34"/>
    <x v="1"/>
    <n v="2800"/>
    <n v="4233.37"/>
    <n v="4"/>
    <n v="10661.9"/>
    <x v="4"/>
    <n v="47600"/>
    <n v="17"/>
    <n v="0"/>
    <m/>
  </r>
  <r>
    <d v="2025-05-16T00:00:00"/>
    <x v="12"/>
    <x v="4"/>
    <x v="0"/>
    <s v="Greenline Trading"/>
    <n v="232"/>
    <n v="33"/>
    <x v="2"/>
    <n v="850"/>
    <n v="27333"/>
    <n v="36"/>
    <n v="32736.06"/>
    <x v="4"/>
    <n v="197200"/>
    <n v="0"/>
    <n v="199"/>
    <m/>
  </r>
  <r>
    <d v="2025-05-17T00:00:00"/>
    <x v="16"/>
    <x v="2"/>
    <x v="2"/>
    <s v="Star Enterprises"/>
    <n v="114"/>
    <n v="17"/>
    <x v="2"/>
    <n v="1200"/>
    <n v="2896.05"/>
    <n v="7"/>
    <n v="8264.59"/>
    <x v="4"/>
    <n v="136800"/>
    <n v="0"/>
    <n v="97"/>
    <m/>
  </r>
  <r>
    <d v="2025-05-18T00:00:00"/>
    <x v="1"/>
    <x v="1"/>
    <x v="2"/>
    <s v="Prime Traders"/>
    <n v="130"/>
    <n v="16"/>
    <x v="2"/>
    <n v="2800"/>
    <n v="84218.21"/>
    <n v="2"/>
    <n v="5834.79"/>
    <x v="4"/>
    <n v="364000"/>
    <n v="0"/>
    <n v="114"/>
    <m/>
  </r>
  <r>
    <d v="2025-05-19T00:00:00"/>
    <x v="14"/>
    <x v="2"/>
    <x v="5"/>
    <s v="Metro Wholesale"/>
    <n v="205"/>
    <n v="11"/>
    <x v="2"/>
    <n v="120"/>
    <n v="1809.49"/>
    <n v="12"/>
    <n v="1451.5"/>
    <x v="4"/>
    <n v="24600"/>
    <n v="0"/>
    <n v="194"/>
    <m/>
  </r>
  <r>
    <d v="2025-05-20T00:00:00"/>
    <x v="4"/>
    <x v="0"/>
    <x v="2"/>
    <s v="Greenline Trading"/>
    <n v="206"/>
    <n v="26"/>
    <x v="2"/>
    <n v="8500"/>
    <n v="438566.71"/>
    <n v="28"/>
    <n v="235992.43"/>
    <x v="4"/>
    <n v="1751000"/>
    <n v="0"/>
    <n v="180"/>
    <m/>
  </r>
  <r>
    <d v="2025-05-21T00:00:00"/>
    <x v="12"/>
    <x v="4"/>
    <x v="2"/>
    <s v="ABC Distributors"/>
    <n v="239"/>
    <n v="48"/>
    <x v="2"/>
    <n v="850"/>
    <n v="10618.29"/>
    <n v="15"/>
    <n v="14372.24"/>
    <x v="4"/>
    <n v="203150"/>
    <n v="0"/>
    <n v="191"/>
    <m/>
  </r>
  <r>
    <d v="2025-05-22T00:00:00"/>
    <x v="8"/>
    <x v="3"/>
    <x v="4"/>
    <s v="Greenline Trading"/>
    <n v="105"/>
    <n v="11"/>
    <x v="2"/>
    <n v="1400"/>
    <n v="22306.19"/>
    <n v="26"/>
    <n v="41428.660000000003"/>
    <x v="4"/>
    <n v="147000"/>
    <n v="0"/>
    <n v="94"/>
    <m/>
  </r>
  <r>
    <d v="2025-05-23T00:00:00"/>
    <x v="8"/>
    <x v="3"/>
    <x v="1"/>
    <s v="Star Enterprises"/>
    <n v="228"/>
    <n v="44"/>
    <x v="2"/>
    <n v="1400"/>
    <n v="30067.83"/>
    <n v="25"/>
    <n v="36041.75"/>
    <x v="4"/>
    <n v="319200"/>
    <n v="0"/>
    <n v="184"/>
    <m/>
  </r>
  <r>
    <d v="2025-05-24T00:00:00"/>
    <x v="12"/>
    <x v="4"/>
    <x v="5"/>
    <s v="Metro Wholesale"/>
    <n v="46"/>
    <n v="21"/>
    <x v="2"/>
    <n v="850"/>
    <n v="4066.21"/>
    <n v="5"/>
    <n v="4217.28"/>
    <x v="4"/>
    <n v="39100"/>
    <n v="0"/>
    <n v="25"/>
    <m/>
  </r>
  <r>
    <d v="2025-05-25T00:00:00"/>
    <x v="6"/>
    <x v="0"/>
    <x v="1"/>
    <s v="National Suppliers"/>
    <n v="56"/>
    <n v="38"/>
    <x v="2"/>
    <n v="4500"/>
    <n v="3592.05"/>
    <n v="6"/>
    <n v="26911.27"/>
    <x v="4"/>
    <n v="252000"/>
    <n v="0"/>
    <n v="18"/>
    <m/>
  </r>
  <r>
    <d v="2025-05-26T00:00:00"/>
    <x v="0"/>
    <x v="0"/>
    <x v="3"/>
    <s v="Global Supplies"/>
    <n v="18"/>
    <n v="25"/>
    <x v="2"/>
    <n v="250"/>
    <n v="437.89"/>
    <n v="3"/>
    <n v="730.19"/>
    <x v="4"/>
    <n v="4500"/>
    <n v="7"/>
    <n v="0"/>
    <m/>
  </r>
  <r>
    <d v="2025-05-27T00:00:00"/>
    <x v="16"/>
    <x v="2"/>
    <x v="0"/>
    <s v="Star Enterprises"/>
    <n v="128"/>
    <n v="28"/>
    <x v="2"/>
    <n v="1200"/>
    <n v="17187.759999999998"/>
    <n v="23"/>
    <n v="30671.86"/>
    <x v="4"/>
    <n v="153600"/>
    <n v="0"/>
    <n v="100"/>
    <m/>
  </r>
  <r>
    <d v="2025-05-28T00:00:00"/>
    <x v="3"/>
    <x v="3"/>
    <x v="4"/>
    <s v="Metro Wholesale"/>
    <n v="86"/>
    <n v="14"/>
    <x v="2"/>
    <n v="1100"/>
    <n v="8593.64"/>
    <n v="9"/>
    <n v="11362.08"/>
    <x v="4"/>
    <n v="94600"/>
    <n v="0"/>
    <n v="72"/>
    <m/>
  </r>
  <r>
    <d v="2025-05-29T00:00:00"/>
    <x v="12"/>
    <x v="4"/>
    <x v="5"/>
    <s v="Greenline Trading"/>
    <n v="40"/>
    <n v="17"/>
    <x v="2"/>
    <n v="850"/>
    <n v="8000.05"/>
    <n v="9"/>
    <n v="7523.71"/>
    <x v="4"/>
    <n v="34000"/>
    <n v="0"/>
    <n v="23"/>
    <m/>
  </r>
  <r>
    <d v="2025-05-30T00:00:00"/>
    <x v="19"/>
    <x v="4"/>
    <x v="2"/>
    <s v="Prime Traders"/>
    <n v="248"/>
    <n v="16"/>
    <x v="2"/>
    <n v="900"/>
    <n v="6440.37"/>
    <n v="38"/>
    <n v="33590.06"/>
    <x v="4"/>
    <n v="223200"/>
    <n v="0"/>
    <n v="232"/>
    <m/>
  </r>
  <r>
    <d v="2025-05-31T00:00:00"/>
    <x v="8"/>
    <x v="3"/>
    <x v="3"/>
    <s v="National Suppliers"/>
    <n v="14"/>
    <n v="17"/>
    <x v="1"/>
    <n v="1400"/>
    <n v="2563.67"/>
    <n v="2"/>
    <n v="2871.68"/>
    <x v="4"/>
    <n v="19600"/>
    <n v="3"/>
    <n v="0"/>
    <m/>
  </r>
  <r>
    <d v="2025-06-01T00:00:00"/>
    <x v="1"/>
    <x v="1"/>
    <x v="3"/>
    <s v="Global Supplies"/>
    <n v="79"/>
    <n v="22"/>
    <x v="2"/>
    <n v="2800"/>
    <n v="40947.31"/>
    <n v="8"/>
    <n v="24393.07"/>
    <x v="5"/>
    <n v="221200"/>
    <n v="0"/>
    <n v="57"/>
    <m/>
  </r>
  <r>
    <d v="2025-06-02T00:00:00"/>
    <x v="7"/>
    <x v="3"/>
    <x v="0"/>
    <s v="Greenline Trading"/>
    <n v="176"/>
    <n v="17"/>
    <x v="2"/>
    <n v="650"/>
    <n v="16361.27"/>
    <n v="42"/>
    <n v="28705.99"/>
    <x v="5"/>
    <n v="114400"/>
    <n v="0"/>
    <n v="159"/>
    <m/>
  </r>
  <r>
    <d v="2025-06-03T00:00:00"/>
    <x v="18"/>
    <x v="2"/>
    <x v="1"/>
    <s v="Metro Wholesale"/>
    <n v="123"/>
    <n v="21"/>
    <x v="2"/>
    <n v="3000"/>
    <n v="86069.78"/>
    <n v="27"/>
    <n v="81300.7"/>
    <x v="5"/>
    <n v="369000"/>
    <n v="0"/>
    <n v="102"/>
    <m/>
  </r>
  <r>
    <d v="2025-06-04T00:00:00"/>
    <x v="10"/>
    <x v="0"/>
    <x v="2"/>
    <s v="Global Supplies"/>
    <n v="38"/>
    <n v="31"/>
    <x v="2"/>
    <n v="6000"/>
    <n v="56336.84"/>
    <n v="5"/>
    <n v="32919.21"/>
    <x v="5"/>
    <n v="228000"/>
    <n v="0"/>
    <n v="7"/>
    <m/>
  </r>
  <r>
    <d v="2025-06-05T00:00:00"/>
    <x v="8"/>
    <x v="3"/>
    <x v="2"/>
    <s v="National Suppliers"/>
    <n v="52"/>
    <n v="14"/>
    <x v="2"/>
    <n v="1400"/>
    <n v="11663.86"/>
    <n v="11"/>
    <n v="15874.75"/>
    <x v="5"/>
    <n v="72800"/>
    <n v="0"/>
    <n v="38"/>
    <m/>
  </r>
  <r>
    <d v="2025-06-06T00:00:00"/>
    <x v="18"/>
    <x v="2"/>
    <x v="2"/>
    <s v="Global Supplies"/>
    <n v="111"/>
    <n v="10"/>
    <x v="2"/>
    <n v="3000"/>
    <n v="88747.05"/>
    <n v="22"/>
    <n v="71460.47"/>
    <x v="5"/>
    <n v="333000"/>
    <n v="0"/>
    <n v="101"/>
    <m/>
  </r>
  <r>
    <d v="2025-06-07T00:00:00"/>
    <x v="6"/>
    <x v="0"/>
    <x v="1"/>
    <s v="Greenline Trading"/>
    <n v="222"/>
    <n v="42"/>
    <x v="2"/>
    <n v="4500"/>
    <n v="48999.34"/>
    <n v="1"/>
    <n v="4325.74"/>
    <x v="5"/>
    <n v="999000"/>
    <n v="0"/>
    <n v="180"/>
    <m/>
  </r>
  <r>
    <d v="2025-06-08T00:00:00"/>
    <x v="7"/>
    <x v="3"/>
    <x v="2"/>
    <s v="Star Enterprises"/>
    <n v="204"/>
    <n v="50"/>
    <x v="2"/>
    <n v="650"/>
    <n v="16028.32"/>
    <n v="17"/>
    <n v="10922.5"/>
    <x v="5"/>
    <n v="132600"/>
    <n v="0"/>
    <n v="154"/>
    <m/>
  </r>
  <r>
    <d v="2025-06-09T00:00:00"/>
    <x v="18"/>
    <x v="2"/>
    <x v="3"/>
    <s v="Global Supplies"/>
    <n v="167"/>
    <n v="25"/>
    <x v="2"/>
    <n v="3000"/>
    <n v="84324.5"/>
    <n v="12"/>
    <n v="38781.599999999999"/>
    <x v="5"/>
    <n v="501000"/>
    <n v="0"/>
    <n v="142"/>
    <m/>
  </r>
  <r>
    <d v="2025-06-10T00:00:00"/>
    <x v="6"/>
    <x v="0"/>
    <x v="2"/>
    <s v="National Suppliers"/>
    <n v="119"/>
    <n v="49"/>
    <x v="2"/>
    <n v="4500"/>
    <n v="26654.27"/>
    <n v="18"/>
    <n v="91828.96"/>
    <x v="5"/>
    <n v="535500"/>
    <n v="0"/>
    <n v="70"/>
    <m/>
  </r>
  <r>
    <d v="2025-06-11T00:00:00"/>
    <x v="14"/>
    <x v="2"/>
    <x v="2"/>
    <s v="ABC Distributors"/>
    <n v="69"/>
    <n v="21"/>
    <x v="2"/>
    <n v="120"/>
    <n v="1201.6300000000001"/>
    <n v="2"/>
    <n v="258.26"/>
    <x v="5"/>
    <n v="8280"/>
    <n v="0"/>
    <n v="48"/>
    <m/>
  </r>
  <r>
    <d v="2025-06-12T00:00:00"/>
    <x v="14"/>
    <x v="2"/>
    <x v="2"/>
    <s v="Metro Wholesale"/>
    <n v="160"/>
    <n v="24"/>
    <x v="2"/>
    <n v="120"/>
    <n v="100.85"/>
    <n v="35"/>
    <n v="4774.46"/>
    <x v="5"/>
    <n v="19200"/>
    <n v="0"/>
    <n v="136"/>
    <m/>
  </r>
  <r>
    <d v="2025-06-13T00:00:00"/>
    <x v="18"/>
    <x v="2"/>
    <x v="3"/>
    <s v="National Suppliers"/>
    <n v="114"/>
    <n v="49"/>
    <x v="2"/>
    <n v="3000"/>
    <n v="70002.820000000007"/>
    <n v="3"/>
    <n v="9097.25"/>
    <x v="5"/>
    <n v="342000"/>
    <n v="0"/>
    <n v="65"/>
    <m/>
  </r>
  <r>
    <d v="2025-06-14T00:00:00"/>
    <x v="1"/>
    <x v="1"/>
    <x v="2"/>
    <s v="Greenline Trading"/>
    <n v="155"/>
    <n v="34"/>
    <x v="2"/>
    <n v="2800"/>
    <n v="13558.22"/>
    <n v="37"/>
    <n v="114847.63"/>
    <x v="5"/>
    <n v="434000"/>
    <n v="0"/>
    <n v="121"/>
    <m/>
  </r>
  <r>
    <d v="2025-06-15T00:00:00"/>
    <x v="6"/>
    <x v="0"/>
    <x v="4"/>
    <s v="Star Enterprises"/>
    <n v="134"/>
    <n v="41"/>
    <x v="2"/>
    <n v="4500"/>
    <n v="99987.88"/>
    <n v="24"/>
    <n v="121534.85"/>
    <x v="5"/>
    <n v="603000"/>
    <n v="0"/>
    <n v="93"/>
    <m/>
  </r>
  <r>
    <d v="2025-06-16T00:00:00"/>
    <x v="18"/>
    <x v="2"/>
    <x v="0"/>
    <s v="Global Supplies"/>
    <n v="215"/>
    <n v="21"/>
    <x v="2"/>
    <n v="3000"/>
    <n v="68642.17"/>
    <n v="24"/>
    <n v="75799.679999999993"/>
    <x v="5"/>
    <n v="645000"/>
    <n v="0"/>
    <n v="194"/>
    <m/>
  </r>
  <r>
    <d v="2025-06-17T00:00:00"/>
    <x v="14"/>
    <x v="2"/>
    <x v="2"/>
    <s v="Greenline Trading"/>
    <n v="108"/>
    <n v="27"/>
    <x v="2"/>
    <n v="120"/>
    <n v="2124.7199999999998"/>
    <n v="17"/>
    <n v="2264.88"/>
    <x v="5"/>
    <n v="12960"/>
    <n v="0"/>
    <n v="81"/>
    <m/>
  </r>
  <r>
    <d v="2025-06-18T00:00:00"/>
    <x v="7"/>
    <x v="3"/>
    <x v="5"/>
    <s v="National Suppliers"/>
    <n v="165"/>
    <n v="20"/>
    <x v="2"/>
    <n v="650"/>
    <n v="13402.8"/>
    <n v="8"/>
    <n v="5325.96"/>
    <x v="5"/>
    <n v="107250"/>
    <n v="0"/>
    <n v="145"/>
    <m/>
  </r>
  <r>
    <d v="2025-06-19T00:00:00"/>
    <x v="16"/>
    <x v="2"/>
    <x v="1"/>
    <s v="National Suppliers"/>
    <n v="234"/>
    <n v="40"/>
    <x v="2"/>
    <n v="1200"/>
    <n v="50575.199999999997"/>
    <n v="11"/>
    <n v="13330.53"/>
    <x v="5"/>
    <n v="280800"/>
    <n v="0"/>
    <n v="194"/>
    <m/>
  </r>
  <r>
    <d v="2025-06-20T00:00:00"/>
    <x v="7"/>
    <x v="3"/>
    <x v="2"/>
    <s v="Greenline Trading"/>
    <n v="94"/>
    <n v="20"/>
    <x v="2"/>
    <n v="650"/>
    <n v="6166.65"/>
    <n v="3"/>
    <n v="1920.7"/>
    <x v="5"/>
    <n v="61100"/>
    <n v="0"/>
    <n v="74"/>
    <m/>
  </r>
  <r>
    <d v="2025-06-21T00:00:00"/>
    <x v="8"/>
    <x v="3"/>
    <x v="2"/>
    <s v="Global Supplies"/>
    <n v="219"/>
    <n v="38"/>
    <x v="2"/>
    <n v="1400"/>
    <n v="3595.42"/>
    <n v="37"/>
    <n v="53779.09"/>
    <x v="5"/>
    <n v="306600"/>
    <n v="0"/>
    <n v="181"/>
    <m/>
  </r>
  <r>
    <d v="2025-06-22T00:00:00"/>
    <x v="3"/>
    <x v="3"/>
    <x v="2"/>
    <s v="National Suppliers"/>
    <n v="249"/>
    <n v="42"/>
    <x v="2"/>
    <n v="1100"/>
    <n v="26343.05"/>
    <n v="31"/>
    <n v="34806.400000000001"/>
    <x v="5"/>
    <n v="273900"/>
    <n v="0"/>
    <n v="207"/>
    <m/>
  </r>
  <r>
    <d v="2025-06-23T00:00:00"/>
    <x v="2"/>
    <x v="2"/>
    <x v="4"/>
    <s v="Metro Wholesale"/>
    <n v="117"/>
    <n v="11"/>
    <x v="2"/>
    <n v="18"/>
    <n v="425.12"/>
    <n v="3"/>
    <n v="54.37"/>
    <x v="5"/>
    <n v="2106"/>
    <n v="0"/>
    <n v="106"/>
    <m/>
  </r>
  <r>
    <d v="2025-06-24T00:00:00"/>
    <x v="0"/>
    <x v="0"/>
    <x v="3"/>
    <s v="Global Supplies"/>
    <n v="182"/>
    <n v="37"/>
    <x v="2"/>
    <n v="250"/>
    <n v="9795.36"/>
    <n v="25"/>
    <n v="7103.4"/>
    <x v="5"/>
    <n v="45500"/>
    <n v="0"/>
    <n v="145"/>
    <m/>
  </r>
  <r>
    <d v="2025-06-25T00:00:00"/>
    <x v="10"/>
    <x v="0"/>
    <x v="3"/>
    <s v="ABC Distributors"/>
    <n v="50"/>
    <n v="45"/>
    <x v="2"/>
    <n v="6000"/>
    <n v="43263.42"/>
    <n v="7"/>
    <n v="43319.44"/>
    <x v="5"/>
    <n v="300000"/>
    <n v="0"/>
    <n v="5"/>
    <m/>
  </r>
  <r>
    <d v="2025-06-26T00:00:00"/>
    <x v="9"/>
    <x v="1"/>
    <x v="0"/>
    <s v="Global Supplies"/>
    <n v="55"/>
    <n v="19"/>
    <x v="2"/>
    <n v="2200"/>
    <n v="8176.35"/>
    <n v="8"/>
    <n v="17091.7"/>
    <x v="5"/>
    <n v="121000"/>
    <n v="0"/>
    <n v="36"/>
    <m/>
  </r>
  <r>
    <d v="2025-06-27T00:00:00"/>
    <x v="1"/>
    <x v="1"/>
    <x v="3"/>
    <s v="Global Supplies"/>
    <n v="7"/>
    <n v="13"/>
    <x v="1"/>
    <n v="2800"/>
    <n v="5014.7700000000004"/>
    <n v="1"/>
    <n v="3100.44"/>
    <x v="5"/>
    <n v="19600"/>
    <n v="6"/>
    <n v="0"/>
    <m/>
  </r>
  <r>
    <d v="2025-06-28T00:00:00"/>
    <x v="18"/>
    <x v="2"/>
    <x v="2"/>
    <s v="Prime Traders"/>
    <n v="136"/>
    <n v="20"/>
    <x v="2"/>
    <n v="3000"/>
    <n v="77492.63"/>
    <n v="15"/>
    <n v="47979.13"/>
    <x v="5"/>
    <n v="408000"/>
    <n v="0"/>
    <n v="116"/>
    <m/>
  </r>
  <r>
    <d v="2025-06-29T00:00:00"/>
    <x v="1"/>
    <x v="1"/>
    <x v="1"/>
    <s v="ABC Distributors"/>
    <n v="245"/>
    <n v="21"/>
    <x v="2"/>
    <n v="2800"/>
    <n v="4660.3599999999997"/>
    <n v="2"/>
    <n v="5357.02"/>
    <x v="5"/>
    <n v="686000"/>
    <n v="0"/>
    <n v="224"/>
    <m/>
  </r>
  <r>
    <d v="2025-06-30T00:00:00"/>
    <x v="9"/>
    <x v="1"/>
    <x v="0"/>
    <s v="ABC Distributors"/>
    <n v="232"/>
    <n v="46"/>
    <x v="2"/>
    <n v="2200"/>
    <n v="102000.35"/>
    <n v="54"/>
    <n v="113981.42"/>
    <x v="5"/>
    <n v="510400"/>
    <n v="0"/>
    <n v="186"/>
    <m/>
  </r>
  <r>
    <d v="2025-07-01T00:00:00"/>
    <x v="11"/>
    <x v="2"/>
    <x v="2"/>
    <s v="Prime Traders"/>
    <n v="189"/>
    <n v="44"/>
    <x v="2"/>
    <n v="45"/>
    <n v="1934.41"/>
    <n v="44"/>
    <n v="2182.31"/>
    <x v="6"/>
    <n v="8505"/>
    <n v="0"/>
    <n v="145"/>
    <m/>
  </r>
  <r>
    <d v="2025-07-02T00:00:00"/>
    <x v="3"/>
    <x v="3"/>
    <x v="2"/>
    <s v="National Suppliers"/>
    <n v="193"/>
    <n v="49"/>
    <x v="2"/>
    <n v="1100"/>
    <n v="41798.480000000003"/>
    <n v="29"/>
    <n v="33908.68"/>
    <x v="6"/>
    <n v="212300"/>
    <n v="0"/>
    <n v="144"/>
    <m/>
  </r>
  <r>
    <d v="2025-07-03T00:00:00"/>
    <x v="11"/>
    <x v="2"/>
    <x v="0"/>
    <s v="ABC Distributors"/>
    <n v="65"/>
    <n v="38"/>
    <x v="2"/>
    <n v="45"/>
    <n v="645.30999999999995"/>
    <n v="9"/>
    <n v="441.22"/>
    <x v="6"/>
    <n v="2925"/>
    <n v="0"/>
    <n v="27"/>
    <m/>
  </r>
  <r>
    <d v="2025-07-04T00:00:00"/>
    <x v="4"/>
    <x v="0"/>
    <x v="2"/>
    <s v="Prime Traders"/>
    <n v="209"/>
    <n v="26"/>
    <x v="2"/>
    <n v="8500"/>
    <n v="284691.17"/>
    <n v="32"/>
    <n v="299584.03000000003"/>
    <x v="6"/>
    <n v="1776500"/>
    <n v="0"/>
    <n v="183"/>
    <m/>
  </r>
  <r>
    <d v="2025-07-05T00:00:00"/>
    <x v="3"/>
    <x v="3"/>
    <x v="3"/>
    <s v="National Suppliers"/>
    <n v="91"/>
    <n v="34"/>
    <x v="2"/>
    <n v="1100"/>
    <n v="17500.96"/>
    <n v="2"/>
    <n v="2362.79"/>
    <x v="6"/>
    <n v="100100"/>
    <n v="0"/>
    <n v="57"/>
    <m/>
  </r>
  <r>
    <d v="2025-07-06T00:00:00"/>
    <x v="15"/>
    <x v="4"/>
    <x v="0"/>
    <s v="Greenline Trading"/>
    <n v="149"/>
    <n v="50"/>
    <x v="2"/>
    <n v="1500"/>
    <n v="28975.52"/>
    <n v="32"/>
    <n v="51224.29"/>
    <x v="6"/>
    <n v="223500"/>
    <n v="0"/>
    <n v="99"/>
    <m/>
  </r>
  <r>
    <d v="2025-07-07T00:00:00"/>
    <x v="2"/>
    <x v="2"/>
    <x v="2"/>
    <s v="Global Supplies"/>
    <n v="92"/>
    <n v="33"/>
    <x v="2"/>
    <n v="18"/>
    <n v="123.32"/>
    <n v="13"/>
    <n v="226.08"/>
    <x v="6"/>
    <n v="1656"/>
    <n v="0"/>
    <n v="59"/>
    <m/>
  </r>
  <r>
    <d v="2025-07-08T00:00:00"/>
    <x v="17"/>
    <x v="1"/>
    <x v="5"/>
    <s v="Prime Traders"/>
    <n v="59"/>
    <n v="24"/>
    <x v="2"/>
    <n v="1200"/>
    <n v="5957.84"/>
    <n v="12"/>
    <n v="16133.3"/>
    <x v="6"/>
    <n v="70800"/>
    <n v="0"/>
    <n v="35"/>
    <m/>
  </r>
  <r>
    <d v="2025-07-09T00:00:00"/>
    <x v="6"/>
    <x v="0"/>
    <x v="1"/>
    <s v="Star Enterprises"/>
    <n v="183"/>
    <n v="10"/>
    <x v="2"/>
    <n v="4500"/>
    <n v="65079.97"/>
    <n v="28"/>
    <n v="143256.85"/>
    <x v="6"/>
    <n v="823500"/>
    <n v="0"/>
    <n v="173"/>
    <m/>
  </r>
  <r>
    <d v="2025-07-10T00:00:00"/>
    <x v="6"/>
    <x v="0"/>
    <x v="2"/>
    <s v="Star Enterprises"/>
    <n v="19"/>
    <n v="13"/>
    <x v="2"/>
    <n v="4500"/>
    <n v="19972.61"/>
    <n v="1"/>
    <n v="4508.82"/>
    <x v="6"/>
    <n v="85500"/>
    <n v="0"/>
    <n v="6"/>
    <m/>
  </r>
  <r>
    <d v="2025-07-11T00:00:00"/>
    <x v="3"/>
    <x v="3"/>
    <x v="1"/>
    <s v="Star Enterprises"/>
    <n v="143"/>
    <n v="39"/>
    <x v="2"/>
    <n v="1100"/>
    <n v="14570.66"/>
    <n v="24"/>
    <n v="28948.2"/>
    <x v="6"/>
    <n v="157300"/>
    <n v="0"/>
    <n v="104"/>
    <m/>
  </r>
  <r>
    <d v="2025-07-12T00:00:00"/>
    <x v="4"/>
    <x v="0"/>
    <x v="5"/>
    <s v="ABC Distributors"/>
    <n v="127"/>
    <n v="37"/>
    <x v="2"/>
    <n v="8500"/>
    <n v="190621.55"/>
    <n v="5"/>
    <n v="42766.82"/>
    <x v="6"/>
    <n v="1079500"/>
    <n v="0"/>
    <n v="90"/>
    <m/>
  </r>
  <r>
    <d v="2025-07-13T00:00:00"/>
    <x v="19"/>
    <x v="4"/>
    <x v="3"/>
    <s v="Greenline Trading"/>
    <n v="247"/>
    <n v="28"/>
    <x v="2"/>
    <n v="900"/>
    <n v="31595.200000000001"/>
    <n v="44"/>
    <n v="40392.04"/>
    <x v="6"/>
    <n v="222300"/>
    <n v="0"/>
    <n v="219"/>
    <m/>
  </r>
  <r>
    <d v="2025-07-14T00:00:00"/>
    <x v="5"/>
    <x v="1"/>
    <x v="5"/>
    <s v="Greenline Trading"/>
    <n v="25"/>
    <n v="22"/>
    <x v="2"/>
    <n v="3500"/>
    <n v="21016.89"/>
    <n v="4"/>
    <n v="14171.66"/>
    <x v="6"/>
    <n v="87500"/>
    <n v="0"/>
    <n v="3"/>
    <m/>
  </r>
  <r>
    <d v="2025-07-15T00:00:00"/>
    <x v="1"/>
    <x v="1"/>
    <x v="2"/>
    <s v="Metro Wholesale"/>
    <n v="50"/>
    <n v="43"/>
    <x v="2"/>
    <n v="2800"/>
    <n v="9783.26"/>
    <n v="6"/>
    <n v="16658.150000000001"/>
    <x v="6"/>
    <n v="140000"/>
    <n v="0"/>
    <n v="7"/>
    <m/>
  </r>
  <r>
    <d v="2025-07-16T00:00:00"/>
    <x v="3"/>
    <x v="3"/>
    <x v="3"/>
    <s v="Global Supplies"/>
    <n v="226"/>
    <n v="42"/>
    <x v="2"/>
    <n v="1100"/>
    <n v="15482.7"/>
    <n v="41"/>
    <n v="48875.53"/>
    <x v="6"/>
    <n v="248600"/>
    <n v="0"/>
    <n v="184"/>
    <m/>
  </r>
  <r>
    <d v="2025-07-17T00:00:00"/>
    <x v="7"/>
    <x v="3"/>
    <x v="0"/>
    <s v="National Suppliers"/>
    <n v="62"/>
    <n v="19"/>
    <x v="2"/>
    <n v="650"/>
    <n v="1475.92"/>
    <n v="13"/>
    <n v="9100.5300000000007"/>
    <x v="6"/>
    <n v="40300"/>
    <n v="0"/>
    <n v="43"/>
    <m/>
  </r>
  <r>
    <d v="2025-07-18T00:00:00"/>
    <x v="12"/>
    <x v="4"/>
    <x v="5"/>
    <s v="Prime Traders"/>
    <n v="17"/>
    <n v="40"/>
    <x v="1"/>
    <n v="850"/>
    <n v="2014.83"/>
    <n v="3"/>
    <n v="2929.77"/>
    <x v="6"/>
    <n v="14450"/>
    <n v="23"/>
    <n v="0"/>
    <m/>
  </r>
  <r>
    <d v="2025-07-19T00:00:00"/>
    <x v="16"/>
    <x v="2"/>
    <x v="2"/>
    <s v="Star Enterprises"/>
    <n v="124"/>
    <n v="12"/>
    <x v="2"/>
    <n v="1200"/>
    <n v="4831.4799999999996"/>
    <n v="1"/>
    <n v="1330.17"/>
    <x v="6"/>
    <n v="148800"/>
    <n v="0"/>
    <n v="112"/>
    <m/>
  </r>
  <r>
    <d v="2025-07-20T00:00:00"/>
    <x v="14"/>
    <x v="2"/>
    <x v="3"/>
    <s v="Greenline Trading"/>
    <n v="110"/>
    <n v="44"/>
    <x v="2"/>
    <n v="120"/>
    <n v="104.54"/>
    <n v="3"/>
    <n v="391.82"/>
    <x v="6"/>
    <n v="13200"/>
    <n v="0"/>
    <n v="66"/>
    <m/>
  </r>
  <r>
    <d v="2025-07-21T00:00:00"/>
    <x v="18"/>
    <x v="2"/>
    <x v="0"/>
    <s v="Star Enterprises"/>
    <n v="19"/>
    <n v="16"/>
    <x v="2"/>
    <n v="3000"/>
    <n v="8265.9"/>
    <n v="4"/>
    <n v="12111.87"/>
    <x v="6"/>
    <n v="57000"/>
    <n v="0"/>
    <n v="3"/>
    <m/>
  </r>
  <r>
    <d v="2025-07-22T00:00:00"/>
    <x v="10"/>
    <x v="0"/>
    <x v="2"/>
    <s v="National Suppliers"/>
    <n v="193"/>
    <n v="24"/>
    <x v="2"/>
    <n v="6000"/>
    <n v="24946.49"/>
    <n v="26"/>
    <n v="153230.04"/>
    <x v="6"/>
    <n v="1158000"/>
    <n v="0"/>
    <n v="169"/>
    <m/>
  </r>
  <r>
    <d v="2025-07-23T00:00:00"/>
    <x v="15"/>
    <x v="4"/>
    <x v="2"/>
    <s v="Metro Wholesale"/>
    <n v="46"/>
    <n v="46"/>
    <x v="1"/>
    <n v="1500"/>
    <n v="14409.31"/>
    <n v="9"/>
    <n v="15065.04"/>
    <x v="6"/>
    <n v="69000"/>
    <n v="0"/>
    <n v="0"/>
    <m/>
  </r>
  <r>
    <d v="2025-07-24T00:00:00"/>
    <x v="14"/>
    <x v="2"/>
    <x v="3"/>
    <s v="Prime Traders"/>
    <n v="145"/>
    <n v="15"/>
    <x v="2"/>
    <n v="120"/>
    <n v="1715.21"/>
    <n v="35"/>
    <n v="4581.12"/>
    <x v="6"/>
    <n v="17400"/>
    <n v="0"/>
    <n v="130"/>
    <m/>
  </r>
  <r>
    <d v="2025-07-25T00:00:00"/>
    <x v="8"/>
    <x v="3"/>
    <x v="2"/>
    <s v="Star Enterprises"/>
    <n v="171"/>
    <n v="27"/>
    <x v="2"/>
    <n v="1400"/>
    <n v="61316.67"/>
    <n v="35"/>
    <n v="49086.03"/>
    <x v="6"/>
    <n v="239400"/>
    <n v="0"/>
    <n v="144"/>
    <m/>
  </r>
  <r>
    <d v="2025-07-26T00:00:00"/>
    <x v="11"/>
    <x v="2"/>
    <x v="3"/>
    <s v="ABC Distributors"/>
    <n v="56"/>
    <n v="37"/>
    <x v="2"/>
    <n v="45"/>
    <n v="219.86"/>
    <n v="8"/>
    <n v="413.87"/>
    <x v="6"/>
    <n v="2520"/>
    <n v="0"/>
    <n v="19"/>
    <m/>
  </r>
  <r>
    <d v="2025-07-27T00:00:00"/>
    <x v="12"/>
    <x v="4"/>
    <x v="2"/>
    <s v="ABC Distributors"/>
    <n v="224"/>
    <n v="40"/>
    <x v="2"/>
    <n v="850"/>
    <n v="43709.04"/>
    <n v="39"/>
    <n v="35166.730000000003"/>
    <x v="6"/>
    <n v="190400"/>
    <n v="0"/>
    <n v="184"/>
    <m/>
  </r>
  <r>
    <d v="2025-07-28T00:00:00"/>
    <x v="8"/>
    <x v="3"/>
    <x v="5"/>
    <s v="Metro Wholesale"/>
    <n v="12"/>
    <n v="33"/>
    <x v="1"/>
    <n v="1400"/>
    <n v="2443.54"/>
    <n v="3"/>
    <n v="4295"/>
    <x v="6"/>
    <n v="16800"/>
    <n v="21"/>
    <n v="0"/>
    <m/>
  </r>
  <r>
    <d v="2025-07-29T00:00:00"/>
    <x v="8"/>
    <x v="3"/>
    <x v="1"/>
    <s v="Prime Traders"/>
    <n v="38"/>
    <n v="45"/>
    <x v="1"/>
    <n v="1400"/>
    <n v="7653.58"/>
    <n v="7"/>
    <n v="9522.01"/>
    <x v="6"/>
    <n v="53200"/>
    <n v="7"/>
    <n v="0"/>
    <m/>
  </r>
  <r>
    <d v="2025-07-30T00:00:00"/>
    <x v="3"/>
    <x v="3"/>
    <x v="5"/>
    <s v="National Suppliers"/>
    <n v="108"/>
    <n v="47"/>
    <x v="2"/>
    <n v="1100"/>
    <n v="32496.45"/>
    <n v="15"/>
    <n v="17631.78"/>
    <x v="6"/>
    <n v="118800"/>
    <n v="0"/>
    <n v="61"/>
    <m/>
  </r>
  <r>
    <d v="2025-07-31T00:00:00"/>
    <x v="9"/>
    <x v="1"/>
    <x v="3"/>
    <s v="ABC Distributors"/>
    <n v="27"/>
    <n v="43"/>
    <x v="1"/>
    <n v="2200"/>
    <n v="9606.77"/>
    <n v="2"/>
    <n v="4937.5"/>
    <x v="6"/>
    <n v="59400"/>
    <n v="16"/>
    <n v="0"/>
    <m/>
  </r>
  <r>
    <d v="2025-08-01T00:00:00"/>
    <x v="7"/>
    <x v="3"/>
    <x v="4"/>
    <s v="ABC Distributors"/>
    <n v="18"/>
    <n v="12"/>
    <x v="2"/>
    <n v="650"/>
    <n v="1045.0999999999999"/>
    <n v="2"/>
    <n v="1448.12"/>
    <x v="7"/>
    <n v="11700"/>
    <n v="0"/>
    <n v="6"/>
    <m/>
  </r>
  <r>
    <d v="2025-08-02T00:00:00"/>
    <x v="13"/>
    <x v="0"/>
    <x v="2"/>
    <s v="Metro Wholesale"/>
    <n v="147"/>
    <n v="41"/>
    <x v="2"/>
    <n v="450"/>
    <n v="10603.29"/>
    <n v="25"/>
    <n v="11988.68"/>
    <x v="7"/>
    <n v="66150"/>
    <n v="0"/>
    <n v="106"/>
    <m/>
  </r>
  <r>
    <d v="2025-08-03T00:00:00"/>
    <x v="4"/>
    <x v="0"/>
    <x v="5"/>
    <s v="ABC Distributors"/>
    <n v="71"/>
    <n v="32"/>
    <x v="2"/>
    <n v="8500"/>
    <n v="77450.73"/>
    <n v="14"/>
    <n v="131852.73000000001"/>
    <x v="7"/>
    <n v="603500"/>
    <n v="0"/>
    <n v="39"/>
    <m/>
  </r>
  <r>
    <d v="2025-08-04T00:00:00"/>
    <x v="7"/>
    <x v="3"/>
    <x v="4"/>
    <s v="National Suppliers"/>
    <n v="42"/>
    <n v="15"/>
    <x v="2"/>
    <n v="650"/>
    <n v="1069.03"/>
    <n v="1"/>
    <n v="633.79999999999995"/>
    <x v="7"/>
    <n v="27300"/>
    <n v="0"/>
    <n v="27"/>
    <m/>
  </r>
  <r>
    <d v="2025-08-05T00:00:00"/>
    <x v="5"/>
    <x v="1"/>
    <x v="4"/>
    <s v="Global Supplies"/>
    <n v="231"/>
    <n v="44"/>
    <x v="2"/>
    <n v="3500"/>
    <n v="74004.789999999994"/>
    <n v="4"/>
    <n v="14947.26"/>
    <x v="7"/>
    <n v="808500"/>
    <n v="0"/>
    <n v="187"/>
    <m/>
  </r>
  <r>
    <d v="2025-08-06T00:00:00"/>
    <x v="18"/>
    <x v="2"/>
    <x v="3"/>
    <s v="Global Supplies"/>
    <n v="154"/>
    <n v="15"/>
    <x v="2"/>
    <n v="3000"/>
    <n v="42353.62"/>
    <n v="5"/>
    <n v="16151.14"/>
    <x v="7"/>
    <n v="462000"/>
    <n v="0"/>
    <n v="139"/>
    <m/>
  </r>
  <r>
    <d v="2025-08-07T00:00:00"/>
    <x v="9"/>
    <x v="1"/>
    <x v="0"/>
    <s v="Global Supplies"/>
    <n v="98"/>
    <n v="50"/>
    <x v="2"/>
    <n v="2200"/>
    <n v="9710.3700000000008"/>
    <n v="15"/>
    <n v="34482.57"/>
    <x v="7"/>
    <n v="215600"/>
    <n v="0"/>
    <n v="48"/>
    <m/>
  </r>
  <r>
    <d v="2025-08-08T00:00:00"/>
    <x v="13"/>
    <x v="0"/>
    <x v="2"/>
    <s v="Star Enterprises"/>
    <n v="158"/>
    <n v="25"/>
    <x v="2"/>
    <n v="450"/>
    <n v="11405.28"/>
    <n v="5"/>
    <n v="2181.52"/>
    <x v="7"/>
    <n v="71100"/>
    <n v="0"/>
    <n v="133"/>
    <m/>
  </r>
  <r>
    <d v="2025-08-09T00:00:00"/>
    <x v="17"/>
    <x v="1"/>
    <x v="2"/>
    <s v="Prime Traders"/>
    <n v="184"/>
    <n v="40"/>
    <x v="2"/>
    <n v="1200"/>
    <n v="66138.12"/>
    <n v="39"/>
    <n v="53524.42"/>
    <x v="7"/>
    <n v="220800"/>
    <n v="0"/>
    <n v="144"/>
    <m/>
  </r>
  <r>
    <d v="2025-08-10T00:00:00"/>
    <x v="17"/>
    <x v="1"/>
    <x v="0"/>
    <s v="Global Supplies"/>
    <n v="197"/>
    <n v="33"/>
    <x v="2"/>
    <n v="1200"/>
    <n v="11892.75"/>
    <n v="1"/>
    <n v="1214.27"/>
    <x v="7"/>
    <n v="236400"/>
    <n v="0"/>
    <n v="164"/>
    <m/>
  </r>
  <r>
    <d v="2025-08-11T00:00:00"/>
    <x v="1"/>
    <x v="1"/>
    <x v="3"/>
    <s v="ABC Distributors"/>
    <n v="184"/>
    <n v="11"/>
    <x v="0"/>
    <n v="2800"/>
    <n v="129395.37"/>
    <n v="45"/>
    <n v="142760.48000000001"/>
    <x v="7"/>
    <n v="515200"/>
    <n v="0"/>
    <n v="173"/>
    <m/>
  </r>
  <r>
    <d v="2025-08-12T00:00:00"/>
    <x v="17"/>
    <x v="1"/>
    <x v="1"/>
    <s v="Prime Traders"/>
    <n v="188"/>
    <n v="37"/>
    <x v="0"/>
    <n v="1200"/>
    <n v="25605.88"/>
    <n v="13"/>
    <n v="15012.43"/>
    <x v="7"/>
    <n v="225600"/>
    <n v="0"/>
    <n v="151"/>
    <m/>
  </r>
  <r>
    <d v="2025-08-13T00:00:00"/>
    <x v="2"/>
    <x v="2"/>
    <x v="2"/>
    <s v="ABC Distributors"/>
    <n v="47"/>
    <n v="35"/>
    <x v="0"/>
    <n v="18"/>
    <n v="184.68"/>
    <n v="10"/>
    <n v="196.46"/>
    <x v="7"/>
    <n v="846"/>
    <n v="0"/>
    <n v="12"/>
    <m/>
  </r>
  <r>
    <d v="2025-08-14T00:00:00"/>
    <x v="5"/>
    <x v="1"/>
    <x v="3"/>
    <s v="ABC Distributors"/>
    <n v="81"/>
    <n v="34"/>
    <x v="0"/>
    <n v="3500"/>
    <n v="78776.649999999994"/>
    <n v="6"/>
    <n v="21101.47"/>
    <x v="7"/>
    <n v="283500"/>
    <n v="0"/>
    <n v="47"/>
    <m/>
  </r>
  <r>
    <d v="2025-08-15T00:00:00"/>
    <x v="18"/>
    <x v="2"/>
    <x v="1"/>
    <s v="Metro Wholesale"/>
    <n v="12"/>
    <n v="35"/>
    <x v="1"/>
    <n v="3000"/>
    <n v="7808.66"/>
    <n v="2"/>
    <n v="5865.94"/>
    <x v="7"/>
    <n v="36000"/>
    <n v="23"/>
    <n v="0"/>
    <m/>
  </r>
  <r>
    <d v="2025-08-16T00:00:00"/>
    <x v="17"/>
    <x v="1"/>
    <x v="4"/>
    <s v="Star Enterprises"/>
    <n v="159"/>
    <n v="24"/>
    <x v="0"/>
    <n v="1200"/>
    <n v="34206.120000000003"/>
    <n v="19"/>
    <n v="25135.52"/>
    <x v="7"/>
    <n v="190800"/>
    <n v="0"/>
    <n v="135"/>
    <m/>
  </r>
  <r>
    <d v="2025-08-17T00:00:00"/>
    <x v="9"/>
    <x v="1"/>
    <x v="2"/>
    <s v="Metro Wholesale"/>
    <n v="35"/>
    <n v="16"/>
    <x v="0"/>
    <n v="2200"/>
    <n v="8198.23"/>
    <n v="5"/>
    <n v="12219.62"/>
    <x v="7"/>
    <n v="77000"/>
    <n v="0"/>
    <n v="19"/>
    <m/>
  </r>
  <r>
    <d v="2025-08-18T00:00:00"/>
    <x v="9"/>
    <x v="1"/>
    <x v="5"/>
    <s v="Prime Traders"/>
    <n v="90"/>
    <n v="15"/>
    <x v="0"/>
    <n v="2200"/>
    <n v="35590.21"/>
    <n v="5"/>
    <n v="10558.14"/>
    <x v="7"/>
    <n v="198000"/>
    <n v="0"/>
    <n v="75"/>
    <m/>
  </r>
  <r>
    <d v="2025-08-19T00:00:00"/>
    <x v="6"/>
    <x v="0"/>
    <x v="2"/>
    <s v="Greenline Trading"/>
    <n v="164"/>
    <n v="20"/>
    <x v="0"/>
    <n v="4500"/>
    <n v="7164.1"/>
    <n v="14"/>
    <n v="61504.83"/>
    <x v="7"/>
    <n v="738000"/>
    <n v="0"/>
    <n v="144"/>
    <m/>
  </r>
  <r>
    <d v="2025-08-20T00:00:00"/>
    <x v="6"/>
    <x v="0"/>
    <x v="2"/>
    <s v="Prime Traders"/>
    <n v="172"/>
    <n v="37"/>
    <x v="0"/>
    <n v="4500"/>
    <n v="180291.73"/>
    <n v="30"/>
    <n v="128280.24"/>
    <x v="7"/>
    <n v="774000"/>
    <n v="0"/>
    <n v="135"/>
    <m/>
  </r>
  <r>
    <d v="2025-08-21T00:00:00"/>
    <x v="14"/>
    <x v="2"/>
    <x v="1"/>
    <s v="Global Supplies"/>
    <n v="189"/>
    <n v="22"/>
    <x v="0"/>
    <n v="120"/>
    <n v="5500.66"/>
    <n v="21"/>
    <n v="2836.39"/>
    <x v="7"/>
    <n v="22680"/>
    <n v="0"/>
    <n v="167"/>
    <m/>
  </r>
  <r>
    <d v="2025-08-22T00:00:00"/>
    <x v="6"/>
    <x v="0"/>
    <x v="4"/>
    <s v="National Suppliers"/>
    <n v="132"/>
    <n v="44"/>
    <x v="0"/>
    <n v="4500"/>
    <n v="40059.800000000003"/>
    <n v="7"/>
    <n v="35781.800000000003"/>
    <x v="7"/>
    <n v="594000"/>
    <n v="0"/>
    <n v="88"/>
    <m/>
  </r>
  <r>
    <d v="2025-08-23T00:00:00"/>
    <x v="11"/>
    <x v="2"/>
    <x v="2"/>
    <s v="Star Enterprises"/>
    <n v="228"/>
    <n v="16"/>
    <x v="0"/>
    <n v="45"/>
    <n v="2419.06"/>
    <n v="51"/>
    <n v="2298.11"/>
    <x v="7"/>
    <n v="10260"/>
    <n v="0"/>
    <n v="212"/>
    <m/>
  </r>
  <r>
    <d v="2025-08-24T00:00:00"/>
    <x v="9"/>
    <x v="1"/>
    <x v="0"/>
    <s v="ABC Distributors"/>
    <n v="235"/>
    <n v="33"/>
    <x v="0"/>
    <n v="2200"/>
    <n v="68619.64"/>
    <n v="14"/>
    <n v="31023.360000000001"/>
    <x v="7"/>
    <n v="517000"/>
    <n v="0"/>
    <n v="202"/>
    <m/>
  </r>
  <r>
    <d v="2025-08-25T00:00:00"/>
    <x v="0"/>
    <x v="0"/>
    <x v="5"/>
    <s v="Global Supplies"/>
    <n v="177"/>
    <n v="35"/>
    <x v="0"/>
    <n v="250"/>
    <n v="3415.33"/>
    <n v="2"/>
    <n v="504.81"/>
    <x v="7"/>
    <n v="44250"/>
    <n v="0"/>
    <n v="142"/>
    <m/>
  </r>
  <r>
    <d v="2025-08-26T00:00:00"/>
    <x v="7"/>
    <x v="3"/>
    <x v="4"/>
    <s v="Metro Wholesale"/>
    <n v="186"/>
    <n v="45"/>
    <x v="0"/>
    <n v="650"/>
    <n v="23666.080000000002"/>
    <n v="8"/>
    <n v="5187.67"/>
    <x v="7"/>
    <n v="120900"/>
    <n v="0"/>
    <n v="141"/>
    <m/>
  </r>
  <r>
    <d v="2025-08-27T00:00:00"/>
    <x v="19"/>
    <x v="4"/>
    <x v="2"/>
    <s v="Star Enterprises"/>
    <n v="219"/>
    <n v="46"/>
    <x v="0"/>
    <n v="900"/>
    <n v="4876.8599999999997"/>
    <n v="14"/>
    <n v="13812.18"/>
    <x v="7"/>
    <n v="197100"/>
    <n v="0"/>
    <n v="173"/>
    <m/>
  </r>
  <r>
    <d v="2025-08-28T00:00:00"/>
    <x v="4"/>
    <x v="0"/>
    <x v="2"/>
    <s v="National Suppliers"/>
    <n v="235"/>
    <n v="34"/>
    <x v="0"/>
    <n v="8500"/>
    <n v="488761.41"/>
    <n v="22"/>
    <n v="183926.27"/>
    <x v="7"/>
    <n v="1997500"/>
    <n v="0"/>
    <n v="201"/>
    <m/>
  </r>
  <r>
    <d v="2025-08-29T00:00:00"/>
    <x v="15"/>
    <x v="4"/>
    <x v="3"/>
    <s v="Star Enterprises"/>
    <n v="43"/>
    <n v="45"/>
    <x v="1"/>
    <n v="1500"/>
    <n v="4570.8599999999997"/>
    <n v="8"/>
    <n v="12051.99"/>
    <x v="7"/>
    <n v="64500"/>
    <n v="2"/>
    <n v="0"/>
    <m/>
  </r>
  <r>
    <d v="2025-08-30T00:00:00"/>
    <x v="0"/>
    <x v="0"/>
    <x v="2"/>
    <s v="Metro Wholesale"/>
    <n v="45"/>
    <n v="28"/>
    <x v="0"/>
    <n v="250"/>
    <n v="1463.34"/>
    <n v="1"/>
    <n v="252.72"/>
    <x v="7"/>
    <n v="11250"/>
    <n v="0"/>
    <n v="17"/>
    <m/>
  </r>
  <r>
    <d v="2025-08-31T00:00:00"/>
    <x v="10"/>
    <x v="0"/>
    <x v="2"/>
    <s v="Prime Traders"/>
    <n v="158"/>
    <n v="45"/>
    <x v="0"/>
    <n v="6000"/>
    <n v="182021.57"/>
    <n v="32"/>
    <n v="193638.59"/>
    <x v="7"/>
    <n v="948000"/>
    <n v="0"/>
    <n v="113"/>
    <m/>
  </r>
  <r>
    <d v="2025-09-01T00:00:00"/>
    <x v="8"/>
    <x v="3"/>
    <x v="3"/>
    <s v="ABC Distributors"/>
    <n v="96"/>
    <n v="13"/>
    <x v="0"/>
    <n v="1400"/>
    <n v="19270.55"/>
    <n v="17"/>
    <n v="23754.22"/>
    <x v="8"/>
    <n v="134400"/>
    <n v="0"/>
    <n v="83"/>
    <m/>
  </r>
  <r>
    <d v="2025-09-02T00:00:00"/>
    <x v="10"/>
    <x v="0"/>
    <x v="3"/>
    <s v="Greenline Trading"/>
    <n v="47"/>
    <n v="16"/>
    <x v="0"/>
    <n v="6000"/>
    <n v="55737.21"/>
    <n v="2"/>
    <n v="12307.74"/>
    <x v="8"/>
    <n v="282000"/>
    <n v="0"/>
    <n v="31"/>
    <m/>
  </r>
  <r>
    <d v="2025-09-03T00:00:00"/>
    <x v="7"/>
    <x v="3"/>
    <x v="5"/>
    <s v="Greenline Trading"/>
    <n v="176"/>
    <n v="17"/>
    <x v="0"/>
    <n v="650"/>
    <n v="16909.82"/>
    <n v="30"/>
    <n v="22294.83"/>
    <x v="8"/>
    <n v="114400"/>
    <n v="0"/>
    <n v="159"/>
    <m/>
  </r>
  <r>
    <d v="2025-09-04T00:00:00"/>
    <x v="3"/>
    <x v="3"/>
    <x v="3"/>
    <s v="Prime Traders"/>
    <n v="81"/>
    <n v="25"/>
    <x v="0"/>
    <n v="1100"/>
    <n v="8166.19"/>
    <n v="13"/>
    <n v="15924.06"/>
    <x v="8"/>
    <n v="89100"/>
    <n v="0"/>
    <n v="56"/>
    <m/>
  </r>
  <r>
    <d v="2025-09-05T00:00:00"/>
    <x v="1"/>
    <x v="1"/>
    <x v="2"/>
    <s v="Global Supplies"/>
    <n v="129"/>
    <n v="14"/>
    <x v="0"/>
    <n v="2800"/>
    <n v="76523.399999999994"/>
    <n v="23"/>
    <n v="61854.8"/>
    <x v="8"/>
    <n v="361200"/>
    <n v="0"/>
    <n v="115"/>
    <m/>
  </r>
  <r>
    <d v="2025-09-06T00:00:00"/>
    <x v="4"/>
    <x v="0"/>
    <x v="0"/>
    <s v="Star Enterprises"/>
    <n v="140"/>
    <n v="10"/>
    <x v="0"/>
    <n v="8500"/>
    <n v="21191.53"/>
    <n v="13"/>
    <n v="117604.55"/>
    <x v="8"/>
    <n v="1190000"/>
    <n v="0"/>
    <n v="130"/>
    <m/>
  </r>
  <r>
    <d v="2025-09-07T00:00:00"/>
    <x v="12"/>
    <x v="4"/>
    <x v="2"/>
    <s v="National Suppliers"/>
    <n v="114"/>
    <n v="12"/>
    <x v="0"/>
    <n v="850"/>
    <n v="27717.919999999998"/>
    <n v="21"/>
    <n v="17302.13"/>
    <x v="8"/>
    <n v="96900"/>
    <n v="0"/>
    <n v="102"/>
    <m/>
  </r>
  <r>
    <d v="2025-09-08T00:00:00"/>
    <x v="10"/>
    <x v="0"/>
    <x v="4"/>
    <s v="Metro Wholesale"/>
    <n v="114"/>
    <n v="32"/>
    <x v="0"/>
    <n v="6000"/>
    <n v="123317.9"/>
    <n v="11"/>
    <n v="74231.759999999995"/>
    <x v="8"/>
    <n v="684000"/>
    <n v="0"/>
    <n v="82"/>
    <m/>
  </r>
  <r>
    <d v="2025-09-09T00:00:00"/>
    <x v="16"/>
    <x v="2"/>
    <x v="2"/>
    <s v="Global Supplies"/>
    <n v="69"/>
    <n v="46"/>
    <x v="0"/>
    <n v="1200"/>
    <n v="4990.22"/>
    <n v="12"/>
    <n v="16366.86"/>
    <x v="8"/>
    <n v="82800"/>
    <n v="0"/>
    <n v="23"/>
    <m/>
  </r>
  <r>
    <d v="2025-09-10T00:00:00"/>
    <x v="6"/>
    <x v="0"/>
    <x v="4"/>
    <s v="Prime Traders"/>
    <n v="199"/>
    <n v="11"/>
    <x v="0"/>
    <n v="4500"/>
    <n v="186448.97"/>
    <n v="3"/>
    <n v="13784.27"/>
    <x v="8"/>
    <n v="895500"/>
    <n v="0"/>
    <n v="188"/>
    <m/>
  </r>
  <r>
    <d v="2025-09-11T00:00:00"/>
    <x v="3"/>
    <x v="3"/>
    <x v="3"/>
    <s v="Star Enterprises"/>
    <n v="208"/>
    <n v="42"/>
    <x v="0"/>
    <n v="1100"/>
    <n v="18449.490000000002"/>
    <n v="32"/>
    <n v="37363.65"/>
    <x v="8"/>
    <n v="228800"/>
    <n v="0"/>
    <n v="166"/>
    <m/>
  </r>
  <r>
    <d v="2025-09-12T00:00:00"/>
    <x v="11"/>
    <x v="2"/>
    <x v="2"/>
    <s v="Greenline Trading"/>
    <n v="134"/>
    <n v="48"/>
    <x v="0"/>
    <n v="45"/>
    <n v="378.52"/>
    <n v="10"/>
    <n v="442.78"/>
    <x v="8"/>
    <n v="6030"/>
    <n v="0"/>
    <n v="86"/>
    <m/>
  </r>
  <r>
    <d v="2025-09-13T00:00:00"/>
    <x v="7"/>
    <x v="3"/>
    <x v="5"/>
    <s v="National Suppliers"/>
    <n v="131"/>
    <n v="34"/>
    <x v="0"/>
    <n v="650"/>
    <n v="15640.63"/>
    <n v="17"/>
    <n v="11979.7"/>
    <x v="8"/>
    <n v="85150"/>
    <n v="0"/>
    <n v="97"/>
    <m/>
  </r>
  <r>
    <d v="2025-09-14T00:00:00"/>
    <x v="16"/>
    <x v="2"/>
    <x v="2"/>
    <s v="Metro Wholesale"/>
    <n v="30"/>
    <n v="49"/>
    <x v="1"/>
    <n v="1200"/>
    <n v="4738.58"/>
    <n v="1"/>
    <n v="1215.5999999999999"/>
    <x v="8"/>
    <n v="36000"/>
    <n v="19"/>
    <n v="0"/>
    <m/>
  </r>
  <r>
    <d v="2025-09-15T00:00:00"/>
    <x v="8"/>
    <x v="3"/>
    <x v="0"/>
    <s v="Greenline Trading"/>
    <n v="12"/>
    <n v="37"/>
    <x v="1"/>
    <n v="1400"/>
    <n v="2407.62"/>
    <n v="3"/>
    <n v="4038.5"/>
    <x v="8"/>
    <n v="16800"/>
    <n v="25"/>
    <n v="0"/>
    <m/>
  </r>
  <r>
    <d v="2025-09-16T00:00:00"/>
    <x v="17"/>
    <x v="1"/>
    <x v="5"/>
    <s v="ABC Distributors"/>
    <n v="230"/>
    <n v="28"/>
    <x v="0"/>
    <n v="1200"/>
    <n v="42898.5"/>
    <n v="8"/>
    <n v="10703.28"/>
    <x v="8"/>
    <n v="276000"/>
    <n v="0"/>
    <n v="202"/>
    <m/>
  </r>
  <r>
    <d v="2025-09-17T00:00:00"/>
    <x v="17"/>
    <x v="1"/>
    <x v="2"/>
    <s v="Prime Traders"/>
    <n v="154"/>
    <n v="34"/>
    <x v="0"/>
    <n v="1200"/>
    <n v="27464.799999999999"/>
    <n v="31"/>
    <n v="36461.019999999997"/>
    <x v="8"/>
    <n v="184800"/>
    <n v="0"/>
    <n v="120"/>
    <m/>
  </r>
  <r>
    <d v="2025-09-18T00:00:00"/>
    <x v="0"/>
    <x v="0"/>
    <x v="0"/>
    <s v="Global Supplies"/>
    <n v="8"/>
    <n v="40"/>
    <x v="1"/>
    <n v="250"/>
    <n v="453.06"/>
    <n v="2"/>
    <n v="505.36"/>
    <x v="8"/>
    <n v="2000"/>
    <n v="32"/>
    <n v="0"/>
    <m/>
  </r>
  <r>
    <d v="2025-09-19T00:00:00"/>
    <x v="6"/>
    <x v="0"/>
    <x v="0"/>
    <s v="ABC Distributors"/>
    <n v="84"/>
    <n v="50"/>
    <x v="0"/>
    <n v="4500"/>
    <n v="33492.78"/>
    <n v="18"/>
    <n v="80246.25"/>
    <x v="8"/>
    <n v="378000"/>
    <n v="0"/>
    <n v="34"/>
    <m/>
  </r>
  <r>
    <d v="2025-09-20T00:00:00"/>
    <x v="2"/>
    <x v="2"/>
    <x v="5"/>
    <s v="Star Enterprises"/>
    <n v="80"/>
    <n v="33"/>
    <x v="0"/>
    <n v="18"/>
    <n v="133.33000000000001"/>
    <n v="15"/>
    <n v="303.51"/>
    <x v="8"/>
    <n v="1440"/>
    <n v="0"/>
    <n v="47"/>
    <m/>
  </r>
  <r>
    <d v="2025-09-21T00:00:00"/>
    <x v="9"/>
    <x v="1"/>
    <x v="4"/>
    <s v="Greenline Trading"/>
    <n v="37"/>
    <n v="26"/>
    <x v="0"/>
    <n v="2200"/>
    <n v="11666.22"/>
    <n v="9"/>
    <n v="20640.689999999999"/>
    <x v="8"/>
    <n v="81400"/>
    <n v="0"/>
    <n v="11"/>
    <m/>
  </r>
  <r>
    <d v="2025-09-22T00:00:00"/>
    <x v="1"/>
    <x v="1"/>
    <x v="0"/>
    <s v="Star Enterprises"/>
    <n v="62"/>
    <n v="39"/>
    <x v="0"/>
    <n v="2800"/>
    <n v="21115.759999999998"/>
    <n v="10"/>
    <n v="28106.51"/>
    <x v="8"/>
    <n v="173600"/>
    <n v="0"/>
    <n v="23"/>
    <m/>
  </r>
  <r>
    <d v="2025-09-23T00:00:00"/>
    <x v="6"/>
    <x v="0"/>
    <x v="2"/>
    <s v="Star Enterprises"/>
    <n v="179"/>
    <n v="49"/>
    <x v="0"/>
    <n v="4500"/>
    <n v="83905.8"/>
    <n v="12"/>
    <n v="58344.02"/>
    <x v="8"/>
    <n v="805500"/>
    <n v="0"/>
    <n v="130"/>
    <m/>
  </r>
  <r>
    <d v="2025-09-24T00:00:00"/>
    <x v="8"/>
    <x v="3"/>
    <x v="0"/>
    <s v="Metro Wholesale"/>
    <n v="105"/>
    <n v="17"/>
    <x v="0"/>
    <n v="1400"/>
    <n v="25281.360000000001"/>
    <n v="3"/>
    <n v="4793.46"/>
    <x v="8"/>
    <n v="147000"/>
    <n v="0"/>
    <n v="88"/>
    <m/>
  </r>
  <r>
    <d v="2025-09-25T00:00:00"/>
    <x v="10"/>
    <x v="0"/>
    <x v="1"/>
    <s v="Metro Wholesale"/>
    <n v="149"/>
    <n v="10"/>
    <x v="0"/>
    <n v="6000"/>
    <n v="221806.3"/>
    <n v="13"/>
    <n v="87976.5"/>
    <x v="8"/>
    <n v="894000"/>
    <n v="0"/>
    <n v="139"/>
    <m/>
  </r>
  <r>
    <d v="2025-09-26T00:00:00"/>
    <x v="8"/>
    <x v="3"/>
    <x v="3"/>
    <s v="Star Enterprises"/>
    <n v="84"/>
    <n v="42"/>
    <x v="0"/>
    <n v="1400"/>
    <n v="2478.65"/>
    <n v="16"/>
    <n v="25346.720000000001"/>
    <x v="8"/>
    <n v="117600"/>
    <n v="0"/>
    <n v="42"/>
    <m/>
  </r>
  <r>
    <d v="2025-09-27T00:00:00"/>
    <x v="12"/>
    <x v="4"/>
    <x v="3"/>
    <s v="Prime Traders"/>
    <n v="225"/>
    <n v="12"/>
    <x v="0"/>
    <n v="850"/>
    <n v="50336.66"/>
    <n v="28"/>
    <n v="23555.06"/>
    <x v="8"/>
    <n v="191250"/>
    <n v="0"/>
    <n v="213"/>
    <m/>
  </r>
  <r>
    <d v="2025-09-28T00:00:00"/>
    <x v="12"/>
    <x v="4"/>
    <x v="4"/>
    <s v="Prime Traders"/>
    <n v="45"/>
    <n v="26"/>
    <x v="0"/>
    <n v="850"/>
    <n v="787.53"/>
    <n v="1"/>
    <n v="821.53"/>
    <x v="8"/>
    <n v="38250"/>
    <n v="0"/>
    <n v="19"/>
    <m/>
  </r>
  <r>
    <d v="2025-09-29T00:00:00"/>
    <x v="12"/>
    <x v="4"/>
    <x v="2"/>
    <s v="Metro Wholesale"/>
    <n v="17"/>
    <n v="21"/>
    <x v="1"/>
    <n v="850"/>
    <n v="2160.1"/>
    <n v="1"/>
    <n v="888.76"/>
    <x v="8"/>
    <n v="14450"/>
    <n v="4"/>
    <n v="0"/>
    <m/>
  </r>
  <r>
    <d v="2025-09-30T00:00:00"/>
    <x v="13"/>
    <x v="0"/>
    <x v="2"/>
    <s v="Global Supplies"/>
    <n v="208"/>
    <n v="25"/>
    <x v="0"/>
    <n v="450"/>
    <n v="18820.88"/>
    <n v="13"/>
    <n v="5927.47"/>
    <x v="8"/>
    <n v="93600"/>
    <n v="0"/>
    <n v="183"/>
    <m/>
  </r>
  <r>
    <d v="2025-10-01T00:00:00"/>
    <x v="7"/>
    <x v="3"/>
    <x v="2"/>
    <s v="National Suppliers"/>
    <n v="76"/>
    <n v="39"/>
    <x v="0"/>
    <n v="650"/>
    <n v="12163.44"/>
    <n v="16"/>
    <n v="11803.25"/>
    <x v="9"/>
    <n v="49400"/>
    <n v="0"/>
    <n v="37"/>
    <m/>
  </r>
  <r>
    <d v="2025-10-02T00:00:00"/>
    <x v="15"/>
    <x v="4"/>
    <x v="2"/>
    <s v="Global Supplies"/>
    <n v="145"/>
    <n v="30"/>
    <x v="0"/>
    <n v="1500"/>
    <n v="6947.07"/>
    <n v="19"/>
    <n v="32580.27"/>
    <x v="9"/>
    <n v="217500"/>
    <n v="0"/>
    <n v="115"/>
    <m/>
  </r>
  <r>
    <d v="2025-10-03T00:00:00"/>
    <x v="10"/>
    <x v="0"/>
    <x v="3"/>
    <s v="Global Supplies"/>
    <n v="39"/>
    <n v="25"/>
    <x v="0"/>
    <n v="6000"/>
    <n v="48014.61"/>
    <n v="6"/>
    <n v="37497.760000000002"/>
    <x v="9"/>
    <n v="234000"/>
    <n v="0"/>
    <n v="14"/>
    <m/>
  </r>
  <r>
    <d v="2025-10-04T00:00:00"/>
    <x v="10"/>
    <x v="0"/>
    <x v="2"/>
    <s v="Global Supplies"/>
    <n v="181"/>
    <n v="15"/>
    <x v="0"/>
    <n v="6000"/>
    <n v="133174.07999999999"/>
    <n v="39"/>
    <n v="227570.11"/>
    <x v="9"/>
    <n v="1086000"/>
    <n v="0"/>
    <n v="166"/>
    <m/>
  </r>
  <r>
    <d v="2025-10-05T00:00:00"/>
    <x v="4"/>
    <x v="0"/>
    <x v="5"/>
    <s v="ABC Distributors"/>
    <n v="97"/>
    <n v="16"/>
    <x v="0"/>
    <n v="8500"/>
    <n v="208817.26"/>
    <n v="13"/>
    <n v="105583.18"/>
    <x v="9"/>
    <n v="824500"/>
    <n v="0"/>
    <n v="81"/>
    <m/>
  </r>
  <r>
    <d v="2025-10-06T00:00:00"/>
    <x v="12"/>
    <x v="4"/>
    <x v="5"/>
    <s v="Star Enterprises"/>
    <n v="18"/>
    <n v="40"/>
    <x v="1"/>
    <n v="850"/>
    <n v="4394.9399999999996"/>
    <n v="4"/>
    <n v="3482.4"/>
    <x v="9"/>
    <n v="15300"/>
    <n v="22"/>
    <n v="0"/>
    <m/>
  </r>
  <r>
    <d v="2025-10-07T00:00:00"/>
    <x v="10"/>
    <x v="0"/>
    <x v="2"/>
    <s v="Global Supplies"/>
    <n v="53"/>
    <n v="47"/>
    <x v="0"/>
    <n v="6000"/>
    <n v="73092.87"/>
    <n v="8"/>
    <n v="50539.1"/>
    <x v="9"/>
    <n v="318000"/>
    <n v="0"/>
    <n v="6"/>
    <m/>
  </r>
  <r>
    <d v="2025-10-08T00:00:00"/>
    <x v="14"/>
    <x v="2"/>
    <x v="3"/>
    <s v="Star Enterprises"/>
    <n v="166"/>
    <n v="50"/>
    <x v="0"/>
    <n v="120"/>
    <n v="5092.72"/>
    <n v="39"/>
    <n v="5257.63"/>
    <x v="9"/>
    <n v="19920"/>
    <n v="0"/>
    <n v="116"/>
    <m/>
  </r>
  <r>
    <d v="2025-10-09T00:00:00"/>
    <x v="8"/>
    <x v="3"/>
    <x v="1"/>
    <s v="Global Supplies"/>
    <n v="233"/>
    <n v="35"/>
    <x v="0"/>
    <n v="1400"/>
    <n v="1194.68"/>
    <n v="16"/>
    <n v="24223.86"/>
    <x v="9"/>
    <n v="326200"/>
    <n v="0"/>
    <n v="198"/>
    <m/>
  </r>
  <r>
    <d v="2025-10-10T00:00:00"/>
    <x v="12"/>
    <x v="4"/>
    <x v="2"/>
    <s v="Metro Wholesale"/>
    <n v="115"/>
    <n v="48"/>
    <x v="0"/>
    <n v="850"/>
    <n v="17607.04"/>
    <n v="25"/>
    <n v="20517.78"/>
    <x v="9"/>
    <n v="97750"/>
    <n v="0"/>
    <n v="67"/>
    <m/>
  </r>
  <r>
    <d v="2025-10-11T00:00:00"/>
    <x v="2"/>
    <x v="2"/>
    <x v="2"/>
    <s v="Metro Wholesale"/>
    <n v="32"/>
    <n v="41"/>
    <x v="1"/>
    <n v="18"/>
    <n v="75.209999999999994"/>
    <n v="5"/>
    <n v="98.66"/>
    <x v="9"/>
    <n v="576"/>
    <n v="9"/>
    <n v="0"/>
    <m/>
  </r>
  <r>
    <d v="2025-10-12T00:00:00"/>
    <x v="0"/>
    <x v="0"/>
    <x v="5"/>
    <s v="ABC Distributors"/>
    <n v="134"/>
    <n v="25"/>
    <x v="0"/>
    <n v="250"/>
    <n v="10277.120000000001"/>
    <n v="2"/>
    <n v="487.86"/>
    <x v="9"/>
    <n v="33500"/>
    <n v="0"/>
    <n v="109"/>
    <m/>
  </r>
  <r>
    <d v="2025-10-13T00:00:00"/>
    <x v="7"/>
    <x v="3"/>
    <x v="1"/>
    <s v="Prime Traders"/>
    <n v="27"/>
    <n v="27"/>
    <x v="1"/>
    <n v="650"/>
    <n v="2737.49"/>
    <n v="4"/>
    <n v="2981.32"/>
    <x v="9"/>
    <n v="17550"/>
    <n v="0"/>
    <n v="0"/>
    <m/>
  </r>
  <r>
    <d v="2025-10-14T00:00:00"/>
    <x v="4"/>
    <x v="0"/>
    <x v="2"/>
    <s v="Global Supplies"/>
    <n v="187"/>
    <n v="50"/>
    <x v="0"/>
    <n v="8500"/>
    <n v="54764.67"/>
    <n v="19"/>
    <n v="184805.51"/>
    <x v="9"/>
    <n v="1589500"/>
    <n v="0"/>
    <n v="137"/>
    <m/>
  </r>
  <r>
    <d v="2025-10-15T00:00:00"/>
    <x v="16"/>
    <x v="2"/>
    <x v="2"/>
    <s v="National Suppliers"/>
    <n v="29"/>
    <n v="41"/>
    <x v="1"/>
    <n v="1200"/>
    <n v="6160.42"/>
    <n v="2"/>
    <n v="2377"/>
    <x v="9"/>
    <n v="34800"/>
    <n v="12"/>
    <n v="0"/>
    <m/>
  </r>
  <r>
    <d v="2025-10-16T00:00:00"/>
    <x v="8"/>
    <x v="3"/>
    <x v="0"/>
    <s v="ABC Distributors"/>
    <n v="117"/>
    <n v="48"/>
    <x v="0"/>
    <n v="1400"/>
    <n v="37809.18"/>
    <n v="20"/>
    <n v="28998.78"/>
    <x v="9"/>
    <n v="163800"/>
    <n v="0"/>
    <n v="69"/>
    <m/>
  </r>
  <r>
    <d v="2025-10-17T00:00:00"/>
    <x v="17"/>
    <x v="1"/>
    <x v="0"/>
    <s v="Star Enterprises"/>
    <n v="96"/>
    <n v="39"/>
    <x v="0"/>
    <n v="1200"/>
    <n v="7252.23"/>
    <n v="11"/>
    <n v="13475.68"/>
    <x v="9"/>
    <n v="115200"/>
    <n v="0"/>
    <n v="57"/>
    <m/>
  </r>
  <r>
    <d v="2025-10-18T00:00:00"/>
    <x v="13"/>
    <x v="0"/>
    <x v="4"/>
    <s v="Global Supplies"/>
    <n v="25"/>
    <n v="16"/>
    <x v="0"/>
    <n v="450"/>
    <n v="3296.25"/>
    <n v="1"/>
    <n v="446.94"/>
    <x v="9"/>
    <n v="11250"/>
    <n v="0"/>
    <n v="9"/>
    <m/>
  </r>
  <r>
    <d v="2025-10-19T00:00:00"/>
    <x v="8"/>
    <x v="3"/>
    <x v="3"/>
    <s v="Metro Wholesale"/>
    <n v="192"/>
    <n v="42"/>
    <x v="0"/>
    <n v="1400"/>
    <n v="25020.799999999999"/>
    <n v="22"/>
    <n v="33420.82"/>
    <x v="9"/>
    <n v="268800"/>
    <n v="0"/>
    <n v="150"/>
    <m/>
  </r>
  <r>
    <d v="2025-10-20T00:00:00"/>
    <x v="18"/>
    <x v="2"/>
    <x v="2"/>
    <s v="National Suppliers"/>
    <n v="44"/>
    <n v="43"/>
    <x v="0"/>
    <n v="3000"/>
    <n v="20445.64"/>
    <n v="3"/>
    <n v="9532.35"/>
    <x v="9"/>
    <n v="132000"/>
    <n v="0"/>
    <n v="1"/>
    <m/>
  </r>
  <r>
    <d v="2025-10-21T00:00:00"/>
    <x v="10"/>
    <x v="0"/>
    <x v="4"/>
    <s v="National Suppliers"/>
    <n v="225"/>
    <n v="30"/>
    <x v="0"/>
    <n v="6000"/>
    <n v="126659.56"/>
    <n v="8"/>
    <n v="47555.53"/>
    <x v="9"/>
    <n v="1350000"/>
    <n v="0"/>
    <n v="195"/>
    <m/>
  </r>
  <r>
    <d v="2025-10-22T00:00:00"/>
    <x v="9"/>
    <x v="1"/>
    <x v="5"/>
    <s v="Metro Wholesale"/>
    <n v="46"/>
    <n v="37"/>
    <x v="0"/>
    <n v="2200"/>
    <n v="25749.32"/>
    <n v="10"/>
    <n v="24413.200000000001"/>
    <x v="9"/>
    <n v="101200"/>
    <n v="0"/>
    <n v="9"/>
    <m/>
  </r>
  <r>
    <d v="2025-10-23T00:00:00"/>
    <x v="14"/>
    <x v="2"/>
    <x v="2"/>
    <s v="National Suppliers"/>
    <n v="168"/>
    <n v="46"/>
    <x v="0"/>
    <n v="120"/>
    <n v="3933.38"/>
    <n v="20"/>
    <n v="2361.3200000000002"/>
    <x v="9"/>
    <n v="20160"/>
    <n v="0"/>
    <n v="122"/>
    <m/>
  </r>
  <r>
    <d v="2025-10-24T00:00:00"/>
    <x v="1"/>
    <x v="1"/>
    <x v="2"/>
    <s v="Global Supplies"/>
    <n v="229"/>
    <n v="19"/>
    <x v="0"/>
    <n v="2800"/>
    <n v="103437"/>
    <n v="32"/>
    <n v="92863.52"/>
    <x v="9"/>
    <n v="641200"/>
    <n v="0"/>
    <n v="210"/>
    <m/>
  </r>
  <r>
    <d v="2025-10-25T00:00:00"/>
    <x v="16"/>
    <x v="2"/>
    <x v="2"/>
    <s v="Metro Wholesale"/>
    <n v="92"/>
    <n v="25"/>
    <x v="0"/>
    <n v="1200"/>
    <n v="9121.2999999999993"/>
    <n v="23"/>
    <n v="29772.53"/>
    <x v="9"/>
    <n v="110400"/>
    <n v="0"/>
    <n v="67"/>
    <m/>
  </r>
  <r>
    <d v="2025-10-26T00:00:00"/>
    <x v="2"/>
    <x v="2"/>
    <x v="4"/>
    <s v="Greenline Trading"/>
    <n v="158"/>
    <n v="19"/>
    <x v="0"/>
    <n v="18"/>
    <n v="311.95"/>
    <n v="29"/>
    <n v="501"/>
    <x v="9"/>
    <n v="2844"/>
    <n v="0"/>
    <n v="139"/>
    <m/>
  </r>
  <r>
    <d v="2025-10-27T00:00:00"/>
    <x v="0"/>
    <x v="0"/>
    <x v="2"/>
    <s v="Prime Traders"/>
    <n v="227"/>
    <n v="18"/>
    <x v="0"/>
    <n v="250"/>
    <n v="7350.53"/>
    <n v="23"/>
    <n v="6523.14"/>
    <x v="9"/>
    <n v="56750"/>
    <n v="0"/>
    <n v="209"/>
    <m/>
  </r>
  <r>
    <d v="2025-10-28T00:00:00"/>
    <x v="17"/>
    <x v="1"/>
    <x v="1"/>
    <s v="Star Enterprises"/>
    <n v="129"/>
    <n v="50"/>
    <x v="0"/>
    <n v="1200"/>
    <n v="2218.06"/>
    <n v="10"/>
    <n v="12221.6"/>
    <x v="9"/>
    <n v="154800"/>
    <n v="0"/>
    <n v="79"/>
    <m/>
  </r>
  <r>
    <d v="2025-10-29T00:00:00"/>
    <x v="7"/>
    <x v="3"/>
    <x v="3"/>
    <s v="Star Enterprises"/>
    <n v="37"/>
    <n v="27"/>
    <x v="0"/>
    <n v="650"/>
    <n v="2560.67"/>
    <n v="9"/>
    <n v="6348.88"/>
    <x v="9"/>
    <n v="24050"/>
    <n v="0"/>
    <n v="10"/>
    <m/>
  </r>
  <r>
    <d v="2025-10-30T00:00:00"/>
    <x v="15"/>
    <x v="4"/>
    <x v="2"/>
    <s v="Metro Wholesale"/>
    <n v="8"/>
    <n v="13"/>
    <x v="1"/>
    <n v="1500"/>
    <n v="1249.24"/>
    <n v="1"/>
    <n v="1673.26"/>
    <x v="9"/>
    <n v="12000"/>
    <n v="5"/>
    <n v="0"/>
    <m/>
  </r>
  <r>
    <d v="2025-10-31T00:00:00"/>
    <x v="17"/>
    <x v="1"/>
    <x v="0"/>
    <s v="National Suppliers"/>
    <n v="188"/>
    <n v="12"/>
    <x v="0"/>
    <n v="1200"/>
    <n v="1074.3499999999999"/>
    <n v="44"/>
    <n v="60633.5"/>
    <x v="9"/>
    <n v="225600"/>
    <n v="0"/>
    <n v="176"/>
    <m/>
  </r>
  <r>
    <d v="2025-11-01T00:00:00"/>
    <x v="18"/>
    <x v="2"/>
    <x v="1"/>
    <s v="Star Enterprises"/>
    <n v="168"/>
    <n v="12"/>
    <x v="0"/>
    <n v="3000"/>
    <n v="77206.02"/>
    <n v="21"/>
    <n v="67319.429999999993"/>
    <x v="10"/>
    <n v="504000"/>
    <n v="0"/>
    <n v="156"/>
    <m/>
  </r>
  <r>
    <d v="2025-11-02T00:00:00"/>
    <x v="17"/>
    <x v="1"/>
    <x v="4"/>
    <s v="National Suppliers"/>
    <n v="9"/>
    <n v="37"/>
    <x v="1"/>
    <n v="1200"/>
    <n v="3380"/>
    <n v="1"/>
    <n v="1294.02"/>
    <x v="10"/>
    <n v="10800"/>
    <n v="28"/>
    <n v="0"/>
    <m/>
  </r>
  <r>
    <d v="2025-11-03T00:00:00"/>
    <x v="12"/>
    <x v="4"/>
    <x v="5"/>
    <s v="National Suppliers"/>
    <n v="22"/>
    <n v="16"/>
    <x v="0"/>
    <n v="850"/>
    <n v="3226.14"/>
    <n v="4"/>
    <n v="3388.26"/>
    <x v="10"/>
    <n v="18700"/>
    <n v="0"/>
    <n v="6"/>
    <m/>
  </r>
  <r>
    <d v="2025-11-04T00:00:00"/>
    <x v="13"/>
    <x v="0"/>
    <x v="4"/>
    <s v="Prime Traders"/>
    <n v="200"/>
    <n v="34"/>
    <x v="0"/>
    <n v="450"/>
    <n v="1103.01"/>
    <n v="12"/>
    <n v="5317.67"/>
    <x v="10"/>
    <n v="90000"/>
    <n v="0"/>
    <n v="166"/>
    <m/>
  </r>
  <r>
    <d v="2025-11-05T00:00:00"/>
    <x v="12"/>
    <x v="4"/>
    <x v="2"/>
    <s v="Star Enterprises"/>
    <n v="36"/>
    <n v="28"/>
    <x v="0"/>
    <n v="850"/>
    <n v="8544.5499999999993"/>
    <n v="7"/>
    <n v="6379.62"/>
    <x v="10"/>
    <n v="30600"/>
    <n v="0"/>
    <n v="8"/>
    <m/>
  </r>
  <r>
    <d v="2025-11-06T00:00:00"/>
    <x v="19"/>
    <x v="4"/>
    <x v="5"/>
    <s v="Global Supplies"/>
    <n v="239"/>
    <n v="34"/>
    <x v="0"/>
    <n v="900"/>
    <n v="47843.16"/>
    <n v="54"/>
    <n v="46277.24"/>
    <x v="10"/>
    <n v="215100"/>
    <n v="0"/>
    <n v="205"/>
    <m/>
  </r>
  <r>
    <d v="2025-11-07T00:00:00"/>
    <x v="8"/>
    <x v="3"/>
    <x v="5"/>
    <s v="Global Supplies"/>
    <n v="164"/>
    <n v="30"/>
    <x v="0"/>
    <n v="1400"/>
    <n v="64039.78"/>
    <n v="17"/>
    <n v="24040.33"/>
    <x v="10"/>
    <n v="229600"/>
    <n v="0"/>
    <n v="134"/>
    <m/>
  </r>
  <r>
    <d v="2025-11-08T00:00:00"/>
    <x v="19"/>
    <x v="4"/>
    <x v="4"/>
    <s v="ABC Distributors"/>
    <n v="241"/>
    <n v="22"/>
    <x v="0"/>
    <n v="900"/>
    <n v="19023.36"/>
    <n v="15"/>
    <n v="14185.04"/>
    <x v="10"/>
    <n v="216900"/>
    <n v="0"/>
    <n v="219"/>
    <m/>
  </r>
  <r>
    <d v="2025-11-09T00:00:00"/>
    <x v="14"/>
    <x v="2"/>
    <x v="2"/>
    <s v="ABC Distributors"/>
    <n v="81"/>
    <n v="24"/>
    <x v="0"/>
    <n v="120"/>
    <n v="1820.18"/>
    <n v="17"/>
    <n v="2239.89"/>
    <x v="10"/>
    <n v="9720"/>
    <n v="0"/>
    <n v="57"/>
    <m/>
  </r>
  <r>
    <d v="2025-11-10T00:00:00"/>
    <x v="9"/>
    <x v="1"/>
    <x v="2"/>
    <s v="Metro Wholesale"/>
    <n v="130"/>
    <n v="19"/>
    <x v="0"/>
    <n v="2200"/>
    <n v="58503.32"/>
    <n v="18"/>
    <n v="43606.62"/>
    <x v="10"/>
    <n v="286000"/>
    <n v="0"/>
    <n v="111"/>
    <m/>
  </r>
  <r>
    <d v="2025-11-11T00:00:00"/>
    <x v="18"/>
    <x v="2"/>
    <x v="0"/>
    <s v="National Suppliers"/>
    <n v="128"/>
    <n v="50"/>
    <x v="0"/>
    <n v="3000"/>
    <n v="7420.84"/>
    <n v="32"/>
    <n v="98778.08"/>
    <x v="10"/>
    <n v="384000"/>
    <n v="0"/>
    <n v="78"/>
    <m/>
  </r>
  <r>
    <d v="2025-11-12T00:00:00"/>
    <x v="0"/>
    <x v="0"/>
    <x v="2"/>
    <s v="Greenline Trading"/>
    <n v="7"/>
    <n v="25"/>
    <x v="1"/>
    <n v="250"/>
    <n v="233.91"/>
    <n v="1"/>
    <n v="283.95999999999998"/>
    <x v="10"/>
    <n v="1750"/>
    <n v="18"/>
    <n v="0"/>
    <m/>
  </r>
  <r>
    <d v="2025-11-13T00:00:00"/>
    <x v="4"/>
    <x v="0"/>
    <x v="2"/>
    <s v="ABC Distributors"/>
    <n v="146"/>
    <n v="19"/>
    <x v="0"/>
    <n v="8500"/>
    <n v="179534.39"/>
    <n v="1"/>
    <n v="9390.7800000000007"/>
    <x v="10"/>
    <n v="1241000"/>
    <n v="0"/>
    <n v="127"/>
    <m/>
  </r>
  <r>
    <d v="2025-11-14T00:00:00"/>
    <x v="2"/>
    <x v="2"/>
    <x v="0"/>
    <s v="Greenline Trading"/>
    <n v="37"/>
    <n v="39"/>
    <x v="1"/>
    <n v="18"/>
    <n v="46.33"/>
    <n v="1"/>
    <n v="19.559999999999999"/>
    <x v="10"/>
    <n v="666"/>
    <n v="2"/>
    <n v="0"/>
    <m/>
  </r>
  <r>
    <d v="2025-11-15T00:00:00"/>
    <x v="17"/>
    <x v="1"/>
    <x v="2"/>
    <s v="Global Supplies"/>
    <n v="82"/>
    <n v="25"/>
    <x v="0"/>
    <n v="1200"/>
    <n v="8266.5499999999993"/>
    <n v="7"/>
    <n v="8960.99"/>
    <x v="10"/>
    <n v="98400"/>
    <n v="0"/>
    <n v="57"/>
    <m/>
  </r>
  <r>
    <d v="2025-11-16T00:00:00"/>
    <x v="8"/>
    <x v="3"/>
    <x v="0"/>
    <s v="ABC Distributors"/>
    <n v="193"/>
    <n v="38"/>
    <x v="0"/>
    <n v="1400"/>
    <n v="28341.34"/>
    <n v="4"/>
    <n v="5450.23"/>
    <x v="10"/>
    <n v="270200"/>
    <n v="0"/>
    <n v="155"/>
    <m/>
  </r>
  <r>
    <d v="2025-11-17T00:00:00"/>
    <x v="8"/>
    <x v="3"/>
    <x v="2"/>
    <s v="National Suppliers"/>
    <n v="177"/>
    <n v="17"/>
    <x v="0"/>
    <n v="1400"/>
    <n v="21717.91"/>
    <n v="22"/>
    <n v="32601.67"/>
    <x v="10"/>
    <n v="247800"/>
    <n v="0"/>
    <n v="160"/>
    <m/>
  </r>
  <r>
    <d v="2025-11-18T00:00:00"/>
    <x v="9"/>
    <x v="1"/>
    <x v="2"/>
    <s v="Metro Wholesale"/>
    <n v="49"/>
    <n v="27"/>
    <x v="0"/>
    <n v="2200"/>
    <n v="20972.34"/>
    <n v="4"/>
    <n v="9378.98"/>
    <x v="10"/>
    <n v="107800"/>
    <n v="0"/>
    <n v="22"/>
    <m/>
  </r>
  <r>
    <d v="2025-11-19T00:00:00"/>
    <x v="6"/>
    <x v="0"/>
    <x v="2"/>
    <s v="ABC Distributors"/>
    <n v="202"/>
    <n v="43"/>
    <x v="0"/>
    <n v="4500"/>
    <n v="50203.06"/>
    <n v="40"/>
    <n v="175448.4"/>
    <x v="10"/>
    <n v="909000"/>
    <n v="0"/>
    <n v="159"/>
    <m/>
  </r>
  <r>
    <d v="2025-11-20T00:00:00"/>
    <x v="3"/>
    <x v="3"/>
    <x v="3"/>
    <s v="Metro Wholesale"/>
    <n v="205"/>
    <n v="32"/>
    <x v="0"/>
    <n v="1100"/>
    <n v="46352.95"/>
    <n v="39"/>
    <n v="45116.68"/>
    <x v="10"/>
    <n v="225500"/>
    <n v="0"/>
    <n v="173"/>
    <m/>
  </r>
  <r>
    <d v="2025-11-21T00:00:00"/>
    <x v="6"/>
    <x v="0"/>
    <x v="0"/>
    <s v="Star Enterprises"/>
    <n v="75"/>
    <n v="44"/>
    <x v="0"/>
    <n v="4500"/>
    <n v="78283.19"/>
    <n v="1"/>
    <n v="4512.24"/>
    <x v="10"/>
    <n v="337500"/>
    <n v="0"/>
    <n v="31"/>
    <m/>
  </r>
  <r>
    <d v="2025-11-22T00:00:00"/>
    <x v="11"/>
    <x v="2"/>
    <x v="3"/>
    <s v="Metro Wholesale"/>
    <n v="149"/>
    <n v="49"/>
    <x v="0"/>
    <n v="45"/>
    <n v="1476.71"/>
    <n v="12"/>
    <n v="589.25"/>
    <x v="10"/>
    <n v="6705"/>
    <n v="0"/>
    <n v="100"/>
    <m/>
  </r>
  <r>
    <d v="2025-11-23T00:00:00"/>
    <x v="1"/>
    <x v="1"/>
    <x v="3"/>
    <s v="Global Supplies"/>
    <n v="116"/>
    <n v="48"/>
    <x v="0"/>
    <n v="2800"/>
    <n v="13133.16"/>
    <n v="29"/>
    <n v="81333.66"/>
    <x v="10"/>
    <n v="324800"/>
    <n v="0"/>
    <n v="68"/>
    <m/>
  </r>
  <r>
    <d v="2025-11-24T00:00:00"/>
    <x v="13"/>
    <x v="0"/>
    <x v="2"/>
    <s v="Prime Traders"/>
    <n v="97"/>
    <n v="14"/>
    <x v="0"/>
    <n v="450"/>
    <n v="9710.23"/>
    <n v="12"/>
    <n v="5316.32"/>
    <x v="10"/>
    <n v="43650"/>
    <n v="0"/>
    <n v="83"/>
    <m/>
  </r>
  <r>
    <d v="2025-11-25T00:00:00"/>
    <x v="17"/>
    <x v="1"/>
    <x v="1"/>
    <s v="Prime Traders"/>
    <n v="140"/>
    <n v="22"/>
    <x v="0"/>
    <n v="1200"/>
    <n v="2099.2399999999998"/>
    <n v="19"/>
    <n v="26085.73"/>
    <x v="10"/>
    <n v="168000"/>
    <n v="0"/>
    <n v="118"/>
    <m/>
  </r>
  <r>
    <d v="2025-11-26T00:00:00"/>
    <x v="2"/>
    <x v="2"/>
    <x v="0"/>
    <s v="National Suppliers"/>
    <n v="226"/>
    <n v="17"/>
    <x v="0"/>
    <n v="18"/>
    <n v="1008.2"/>
    <n v="44"/>
    <n v="882.38"/>
    <x v="10"/>
    <n v="4068"/>
    <n v="0"/>
    <n v="209"/>
    <m/>
  </r>
  <r>
    <d v="2025-11-27T00:00:00"/>
    <x v="19"/>
    <x v="4"/>
    <x v="2"/>
    <s v="National Suppliers"/>
    <n v="155"/>
    <n v="41"/>
    <x v="0"/>
    <n v="900"/>
    <n v="26768.639999999999"/>
    <n v="32"/>
    <n v="30966.34"/>
    <x v="10"/>
    <n v="139500"/>
    <n v="0"/>
    <n v="114"/>
    <m/>
  </r>
  <r>
    <d v="2025-11-28T00:00:00"/>
    <x v="19"/>
    <x v="4"/>
    <x v="1"/>
    <s v="Greenline Trading"/>
    <n v="224"/>
    <n v="23"/>
    <x v="0"/>
    <n v="900"/>
    <n v="15819.16"/>
    <n v="19"/>
    <n v="18470.47"/>
    <x v="10"/>
    <n v="201600"/>
    <n v="0"/>
    <n v="201"/>
    <m/>
  </r>
  <r>
    <d v="2025-11-29T00:00:00"/>
    <x v="6"/>
    <x v="0"/>
    <x v="1"/>
    <s v="Prime Traders"/>
    <n v="27"/>
    <n v="18"/>
    <x v="0"/>
    <n v="4500"/>
    <n v="12471.15"/>
    <n v="3"/>
    <n v="14665.72"/>
    <x v="10"/>
    <n v="121500"/>
    <n v="0"/>
    <n v="9"/>
    <m/>
  </r>
  <r>
    <d v="2025-11-30T00:00:00"/>
    <x v="19"/>
    <x v="4"/>
    <x v="2"/>
    <s v="National Suppliers"/>
    <n v="40"/>
    <n v="24"/>
    <x v="0"/>
    <n v="900"/>
    <n v="9526.52"/>
    <n v="10"/>
    <n v="8946.2000000000007"/>
    <x v="10"/>
    <n v="36000"/>
    <n v="0"/>
    <n v="16"/>
    <m/>
  </r>
  <r>
    <d v="2025-12-01T00:00:00"/>
    <x v="2"/>
    <x v="2"/>
    <x v="2"/>
    <s v="Metro Wholesale"/>
    <n v="136"/>
    <n v="34"/>
    <x v="0"/>
    <n v="18"/>
    <n v="72.52"/>
    <n v="18"/>
    <n v="319.27"/>
    <x v="11"/>
    <n v="2448"/>
    <n v="0"/>
    <n v="102"/>
    <m/>
  </r>
  <r>
    <d v="2025-12-02T00:00:00"/>
    <x v="9"/>
    <x v="1"/>
    <x v="2"/>
    <s v="Prime Traders"/>
    <n v="70"/>
    <n v="17"/>
    <x v="0"/>
    <n v="2200"/>
    <n v="6870.7"/>
    <n v="9"/>
    <n v="22730.74"/>
    <x v="11"/>
    <n v="154000"/>
    <n v="0"/>
    <n v="53"/>
    <m/>
  </r>
  <r>
    <d v="2025-12-03T00:00:00"/>
    <x v="7"/>
    <x v="3"/>
    <x v="2"/>
    <s v="Greenline Trading"/>
    <n v="18"/>
    <n v="41"/>
    <x v="1"/>
    <n v="650"/>
    <n v="3414.61"/>
    <n v="3"/>
    <n v="1983.11"/>
    <x v="11"/>
    <n v="11700"/>
    <n v="23"/>
    <n v="0"/>
    <m/>
  </r>
  <r>
    <d v="2025-12-04T00:00:00"/>
    <x v="5"/>
    <x v="1"/>
    <x v="0"/>
    <s v="Star Enterprises"/>
    <n v="72"/>
    <n v="40"/>
    <x v="0"/>
    <n v="3500"/>
    <n v="14691.86"/>
    <n v="9"/>
    <n v="30770.93"/>
    <x v="11"/>
    <n v="252000"/>
    <n v="0"/>
    <n v="32"/>
    <m/>
  </r>
  <r>
    <d v="2025-12-05T00:00:00"/>
    <x v="18"/>
    <x v="2"/>
    <x v="5"/>
    <s v="Metro Wholesale"/>
    <n v="128"/>
    <n v="16"/>
    <x v="0"/>
    <n v="3000"/>
    <n v="63383.62"/>
    <n v="8"/>
    <n v="26345.26"/>
    <x v="11"/>
    <n v="384000"/>
    <n v="0"/>
    <n v="112"/>
    <m/>
  </r>
  <r>
    <d v="2025-12-06T00:00:00"/>
    <x v="14"/>
    <x v="2"/>
    <x v="2"/>
    <s v="National Suppliers"/>
    <n v="66"/>
    <n v="44"/>
    <x v="0"/>
    <n v="120"/>
    <n v="389.11"/>
    <n v="9"/>
    <n v="1176.77"/>
    <x v="11"/>
    <n v="7920"/>
    <n v="0"/>
    <n v="22"/>
    <m/>
  </r>
  <r>
    <d v="2025-12-07T00:00:00"/>
    <x v="18"/>
    <x v="2"/>
    <x v="1"/>
    <s v="Global Supplies"/>
    <n v="86"/>
    <n v="12"/>
    <x v="0"/>
    <n v="3000"/>
    <n v="48005.8"/>
    <n v="5"/>
    <n v="16667.72"/>
    <x v="11"/>
    <n v="258000"/>
    <n v="0"/>
    <n v="74"/>
    <m/>
  </r>
  <r>
    <d v="2025-12-08T00:00:00"/>
    <x v="2"/>
    <x v="2"/>
    <x v="2"/>
    <s v="Greenline Trading"/>
    <n v="221"/>
    <n v="22"/>
    <x v="0"/>
    <n v="18"/>
    <n v="307.33"/>
    <n v="4"/>
    <n v="79.52"/>
    <x v="11"/>
    <n v="3978"/>
    <n v="0"/>
    <n v="199"/>
    <m/>
  </r>
  <r>
    <d v="2025-12-09T00:00:00"/>
    <x v="8"/>
    <x v="3"/>
    <x v="3"/>
    <s v="ABC Distributors"/>
    <n v="183"/>
    <n v="25"/>
    <x v="0"/>
    <n v="1400"/>
    <n v="55932.58"/>
    <n v="22"/>
    <n v="34437.129999999997"/>
    <x v="11"/>
    <n v="256200"/>
    <n v="0"/>
    <n v="158"/>
    <m/>
  </r>
  <r>
    <d v="2025-12-10T00:00:00"/>
    <x v="14"/>
    <x v="2"/>
    <x v="2"/>
    <s v="National Suppliers"/>
    <n v="111"/>
    <n v="50"/>
    <x v="0"/>
    <n v="120"/>
    <n v="1183.99"/>
    <n v="11"/>
    <n v="1372.95"/>
    <x v="11"/>
    <n v="13320"/>
    <n v="0"/>
    <n v="61"/>
    <m/>
  </r>
  <r>
    <d v="2025-12-11T00:00:00"/>
    <x v="13"/>
    <x v="0"/>
    <x v="1"/>
    <s v="National Suppliers"/>
    <n v="62"/>
    <n v="48"/>
    <x v="0"/>
    <n v="450"/>
    <n v="3409.44"/>
    <n v="13"/>
    <n v="6038.47"/>
    <x v="11"/>
    <n v="27900"/>
    <n v="0"/>
    <n v="14"/>
    <m/>
  </r>
  <r>
    <d v="2025-12-12T00:00:00"/>
    <x v="14"/>
    <x v="2"/>
    <x v="0"/>
    <s v="Star Enterprises"/>
    <n v="141"/>
    <n v="42"/>
    <x v="0"/>
    <n v="120"/>
    <n v="4465.99"/>
    <n v="29"/>
    <n v="3514.48"/>
    <x v="11"/>
    <n v="16920"/>
    <n v="0"/>
    <n v="99"/>
    <m/>
  </r>
  <r>
    <d v="2025-12-13T00:00:00"/>
    <x v="3"/>
    <x v="3"/>
    <x v="5"/>
    <s v="Star Enterprises"/>
    <n v="105"/>
    <n v="16"/>
    <x v="0"/>
    <n v="1100"/>
    <n v="18812.95"/>
    <n v="8"/>
    <n v="9345.15"/>
    <x v="11"/>
    <n v="115500"/>
    <n v="0"/>
    <n v="89"/>
    <m/>
  </r>
  <r>
    <d v="2025-12-14T00:00:00"/>
    <x v="13"/>
    <x v="0"/>
    <x v="2"/>
    <s v="ABC Distributors"/>
    <n v="116"/>
    <n v="32"/>
    <x v="0"/>
    <n v="450"/>
    <n v="4484.6899999999996"/>
    <n v="29"/>
    <n v="12655.19"/>
    <x v="11"/>
    <n v="52200"/>
    <n v="0"/>
    <n v="84"/>
    <m/>
  </r>
  <r>
    <d v="2025-12-15T00:00:00"/>
    <x v="1"/>
    <x v="1"/>
    <x v="0"/>
    <s v="National Suppliers"/>
    <n v="93"/>
    <n v="48"/>
    <x v="0"/>
    <n v="2800"/>
    <n v="73480.88"/>
    <n v="11"/>
    <n v="29654.28"/>
    <x v="11"/>
    <n v="260400"/>
    <n v="0"/>
    <n v="45"/>
    <m/>
  </r>
  <r>
    <d v="2025-12-16T00:00:00"/>
    <x v="10"/>
    <x v="0"/>
    <x v="5"/>
    <s v="Global Supplies"/>
    <n v="176"/>
    <n v="39"/>
    <x v="0"/>
    <n v="6000"/>
    <n v="252363.77"/>
    <n v="12"/>
    <n v="80970.42"/>
    <x v="11"/>
    <n v="1056000"/>
    <n v="0"/>
    <n v="137"/>
    <m/>
  </r>
  <r>
    <d v="2025-12-17T00:00:00"/>
    <x v="7"/>
    <x v="3"/>
    <x v="5"/>
    <s v="Greenline Trading"/>
    <n v="191"/>
    <n v="40"/>
    <x v="0"/>
    <n v="650"/>
    <n v="26962.82"/>
    <n v="9"/>
    <n v="6516.44"/>
    <x v="11"/>
    <n v="124150"/>
    <n v="0"/>
    <n v="151"/>
    <m/>
  </r>
  <r>
    <d v="2025-12-18T00:00:00"/>
    <x v="2"/>
    <x v="2"/>
    <x v="2"/>
    <s v="ABC Distributors"/>
    <n v="239"/>
    <n v="21"/>
    <x v="0"/>
    <n v="18"/>
    <n v="966.86"/>
    <n v="47"/>
    <n v="836.6"/>
    <x v="11"/>
    <n v="4302"/>
    <n v="0"/>
    <n v="218"/>
    <m/>
  </r>
  <r>
    <d v="2025-12-19T00:00:00"/>
    <x v="18"/>
    <x v="2"/>
    <x v="0"/>
    <s v="ABC Distributors"/>
    <n v="23"/>
    <n v="21"/>
    <x v="0"/>
    <n v="3000"/>
    <n v="16486.52"/>
    <n v="5"/>
    <n v="14371.68"/>
    <x v="11"/>
    <n v="69000"/>
    <n v="0"/>
    <n v="2"/>
    <m/>
  </r>
  <r>
    <d v="2025-12-20T00:00:00"/>
    <x v="8"/>
    <x v="3"/>
    <x v="2"/>
    <s v="Prime Traders"/>
    <n v="120"/>
    <n v="46"/>
    <x v="0"/>
    <n v="1400"/>
    <n v="30437.55"/>
    <n v="21"/>
    <n v="30931.87"/>
    <x v="11"/>
    <n v="168000"/>
    <n v="0"/>
    <n v="74"/>
    <m/>
  </r>
  <r>
    <d v="2025-12-21T00:00:00"/>
    <x v="16"/>
    <x v="2"/>
    <x v="2"/>
    <s v="Greenline Trading"/>
    <n v="211"/>
    <n v="13"/>
    <x v="0"/>
    <n v="1200"/>
    <n v="60722.239999999998"/>
    <n v="20"/>
    <n v="25635.919999999998"/>
    <x v="11"/>
    <n v="253200"/>
    <n v="0"/>
    <n v="198"/>
    <m/>
  </r>
  <r>
    <d v="2025-12-22T00:00:00"/>
    <x v="18"/>
    <x v="2"/>
    <x v="2"/>
    <s v="National Suppliers"/>
    <n v="55"/>
    <n v="17"/>
    <x v="0"/>
    <n v="3000"/>
    <n v="48394.41"/>
    <n v="1"/>
    <n v="3131.97"/>
    <x v="11"/>
    <n v="165000"/>
    <n v="0"/>
    <n v="38"/>
    <m/>
  </r>
  <r>
    <d v="2025-12-23T00:00:00"/>
    <x v="0"/>
    <x v="0"/>
    <x v="3"/>
    <s v="Prime Traders"/>
    <n v="150"/>
    <n v="45"/>
    <x v="0"/>
    <n v="250"/>
    <n v="9800.51"/>
    <n v="6"/>
    <n v="1496.17"/>
    <x v="11"/>
    <n v="37500"/>
    <n v="0"/>
    <n v="105"/>
    <m/>
  </r>
  <r>
    <d v="2025-12-24T00:00:00"/>
    <x v="19"/>
    <x v="4"/>
    <x v="3"/>
    <s v="Greenline Trading"/>
    <n v="232"/>
    <n v="20"/>
    <x v="0"/>
    <n v="900"/>
    <n v="6299.51"/>
    <n v="40"/>
    <n v="36949.96"/>
    <x v="11"/>
    <n v="208800"/>
    <n v="0"/>
    <n v="212"/>
    <m/>
  </r>
  <r>
    <d v="2025-12-25T00:00:00"/>
    <x v="10"/>
    <x v="0"/>
    <x v="0"/>
    <s v="Global Supplies"/>
    <n v="230"/>
    <n v="22"/>
    <x v="0"/>
    <n v="6000"/>
    <n v="73085.539999999994"/>
    <n v="38"/>
    <n v="234800.14"/>
    <x v="11"/>
    <n v="1380000"/>
    <n v="0"/>
    <n v="208"/>
    <m/>
  </r>
  <r>
    <d v="2025-12-26T00:00:00"/>
    <x v="11"/>
    <x v="2"/>
    <x v="4"/>
    <s v="Greenline Trading"/>
    <n v="17"/>
    <n v="20"/>
    <x v="1"/>
    <n v="45"/>
    <n v="154.58000000000001"/>
    <n v="2"/>
    <n v="91.59"/>
    <x v="11"/>
    <n v="765"/>
    <n v="3"/>
    <n v="0"/>
    <m/>
  </r>
  <r>
    <d v="2025-12-27T00:00:00"/>
    <x v="16"/>
    <x v="2"/>
    <x v="2"/>
    <s v="Metro Wholesale"/>
    <n v="55"/>
    <n v="18"/>
    <x v="0"/>
    <n v="1200"/>
    <n v="12476.76"/>
    <n v="10"/>
    <n v="13776.5"/>
    <x v="11"/>
    <n v="66000"/>
    <n v="0"/>
    <n v="37"/>
    <m/>
  </r>
  <r>
    <d v="2025-12-28T00:00:00"/>
    <x v="0"/>
    <x v="0"/>
    <x v="5"/>
    <s v="Greenline Trading"/>
    <n v="42"/>
    <n v="12"/>
    <x v="0"/>
    <n v="250"/>
    <n v="3280.07"/>
    <n v="10"/>
    <n v="2492"/>
    <x v="11"/>
    <n v="10500"/>
    <n v="0"/>
    <n v="30"/>
    <m/>
  </r>
  <r>
    <d v="2025-12-29T00:00:00"/>
    <x v="19"/>
    <x v="4"/>
    <x v="3"/>
    <s v="ABC Distributors"/>
    <n v="77"/>
    <n v="29"/>
    <x v="0"/>
    <n v="900"/>
    <n v="6792.16"/>
    <n v="1"/>
    <n v="986.8"/>
    <x v="11"/>
    <n v="69300"/>
    <n v="0"/>
    <n v="48"/>
    <m/>
  </r>
  <r>
    <d v="2025-12-30T00:00:00"/>
    <x v="0"/>
    <x v="0"/>
    <x v="2"/>
    <s v="Global Supplies"/>
    <n v="54"/>
    <n v="21"/>
    <x v="0"/>
    <n v="250"/>
    <n v="762.2"/>
    <n v="12"/>
    <n v="3022.7"/>
    <x v="11"/>
    <n v="13500"/>
    <n v="0"/>
    <n v="33"/>
    <m/>
  </r>
  <r>
    <d v="2025-12-31T00:00:00"/>
    <x v="18"/>
    <x v="2"/>
    <x v="1"/>
    <s v="Greenline Trading"/>
    <n v="155"/>
    <n v="26"/>
    <x v="0"/>
    <n v="3000"/>
    <n v="109089.3"/>
    <n v="36"/>
    <n v="107176.93"/>
    <x v="11"/>
    <n v="465000"/>
    <n v="0"/>
    <n v="129"/>
    <m/>
  </r>
  <r>
    <d v="2026-01-01T00:00:00"/>
    <x v="12"/>
    <x v="4"/>
    <x v="2"/>
    <s v="Greenline Trading"/>
    <n v="8"/>
    <n v="39"/>
    <x v="1"/>
    <n v="850"/>
    <n v="1313.09"/>
    <n v="2"/>
    <n v="1750.27"/>
    <x v="0"/>
    <n v="6800"/>
    <n v="31"/>
    <n v="0"/>
    <m/>
  </r>
  <r>
    <d v="2026-01-02T00:00:00"/>
    <x v="7"/>
    <x v="3"/>
    <x v="1"/>
    <s v="ABC Distributors"/>
    <n v="82"/>
    <n v="50"/>
    <x v="0"/>
    <n v="650"/>
    <n v="9549.8799999999992"/>
    <n v="19"/>
    <n v="13624.44"/>
    <x v="0"/>
    <n v="53300"/>
    <n v="0"/>
    <n v="32"/>
    <m/>
  </r>
  <r>
    <d v="2026-01-03T00:00:00"/>
    <x v="19"/>
    <x v="4"/>
    <x v="3"/>
    <s v="ABC Distributors"/>
    <n v="9"/>
    <n v="35"/>
    <x v="1"/>
    <n v="900"/>
    <n v="1659.84"/>
    <n v="1"/>
    <n v="980.08"/>
    <x v="0"/>
    <n v="8100"/>
    <n v="26"/>
    <n v="0"/>
    <m/>
  </r>
  <r>
    <d v="2026-01-04T00:00:00"/>
    <x v="11"/>
    <x v="2"/>
    <x v="1"/>
    <s v="Prime Traders"/>
    <n v="187"/>
    <n v="22"/>
    <x v="0"/>
    <n v="45"/>
    <n v="2130.5"/>
    <n v="18"/>
    <n v="817.74"/>
    <x v="0"/>
    <n v="8415"/>
    <n v="0"/>
    <n v="165"/>
    <m/>
  </r>
  <r>
    <d v="2026-01-05T00:00:00"/>
    <x v="11"/>
    <x v="2"/>
    <x v="2"/>
    <s v="Global Supplies"/>
    <n v="237"/>
    <n v="12"/>
    <x v="0"/>
    <n v="45"/>
    <n v="40.61"/>
    <n v="56"/>
    <n v="2847.77"/>
    <x v="0"/>
    <n v="10665"/>
    <n v="0"/>
    <n v="225"/>
    <m/>
  </r>
  <r>
    <d v="2026-01-06T00:00:00"/>
    <x v="6"/>
    <x v="0"/>
    <x v="1"/>
    <s v="Greenline Trading"/>
    <n v="94"/>
    <n v="26"/>
    <x v="0"/>
    <n v="4500"/>
    <n v="75308.31"/>
    <n v="13"/>
    <n v="62812.45"/>
    <x v="0"/>
    <n v="423000"/>
    <n v="0"/>
    <n v="68"/>
    <m/>
  </r>
  <r>
    <d v="2026-01-07T00:00:00"/>
    <x v="6"/>
    <x v="0"/>
    <x v="2"/>
    <s v="Metro Wholesale"/>
    <n v="136"/>
    <n v="47"/>
    <x v="0"/>
    <n v="4500"/>
    <n v="58756.73"/>
    <n v="25"/>
    <n v="111136.35"/>
    <x v="0"/>
    <n v="612000"/>
    <n v="0"/>
    <n v="89"/>
    <m/>
  </r>
  <r>
    <d v="2026-01-08T00:00:00"/>
    <x v="18"/>
    <x v="2"/>
    <x v="2"/>
    <s v="ABC Distributors"/>
    <n v="119"/>
    <n v="26"/>
    <x v="0"/>
    <n v="3000"/>
    <n v="52003.78"/>
    <n v="5"/>
    <n v="16992.900000000001"/>
    <x v="0"/>
    <n v="357000"/>
    <n v="0"/>
    <n v="93"/>
    <m/>
  </r>
  <r>
    <d v="2026-01-09T00:00:00"/>
    <x v="9"/>
    <x v="1"/>
    <x v="2"/>
    <s v="Star Enterprises"/>
    <n v="179"/>
    <n v="21"/>
    <x v="0"/>
    <n v="2200"/>
    <n v="75040.5"/>
    <n v="1"/>
    <n v="2520.42"/>
    <x v="0"/>
    <n v="393800"/>
    <n v="0"/>
    <n v="158"/>
    <m/>
  </r>
  <r>
    <d v="2026-01-10T00:00:00"/>
    <x v="2"/>
    <x v="2"/>
    <x v="2"/>
    <s v="National Suppliers"/>
    <n v="121"/>
    <n v="22"/>
    <x v="0"/>
    <n v="18"/>
    <n v="31.99"/>
    <n v="30"/>
    <n v="592.16999999999996"/>
    <x v="0"/>
    <n v="2178"/>
    <n v="0"/>
    <n v="99"/>
    <m/>
  </r>
  <r>
    <d v="2026-01-11T00:00:00"/>
    <x v="7"/>
    <x v="3"/>
    <x v="4"/>
    <s v="National Suppliers"/>
    <n v="179"/>
    <n v="11"/>
    <x v="0"/>
    <n v="650"/>
    <n v="10272.06"/>
    <n v="34"/>
    <n v="21107.200000000001"/>
    <x v="0"/>
    <n v="116350"/>
    <n v="0"/>
    <n v="168"/>
    <m/>
  </r>
  <r>
    <d v="2026-01-12T00:00:00"/>
    <x v="18"/>
    <x v="2"/>
    <x v="2"/>
    <s v="Prime Traders"/>
    <n v="67"/>
    <n v="39"/>
    <x v="0"/>
    <n v="3000"/>
    <n v="4810.07"/>
    <n v="10"/>
    <n v="33411.56"/>
    <x v="0"/>
    <n v="201000"/>
    <n v="0"/>
    <n v="28"/>
    <m/>
  </r>
  <r>
    <d v="2026-01-13T00:00:00"/>
    <x v="15"/>
    <x v="4"/>
    <x v="2"/>
    <s v="National Suppliers"/>
    <n v="224"/>
    <n v="40"/>
    <x v="0"/>
    <n v="1500"/>
    <n v="72589.759999999995"/>
    <n v="45"/>
    <n v="73760.039999999994"/>
    <x v="0"/>
    <n v="336000"/>
    <n v="0"/>
    <n v="184"/>
    <m/>
  </r>
  <r>
    <d v="2026-01-14T00:00:00"/>
    <x v="19"/>
    <x v="4"/>
    <x v="4"/>
    <s v="ABC Distributors"/>
    <n v="167"/>
    <n v="46"/>
    <x v="0"/>
    <n v="900"/>
    <n v="9334.82"/>
    <n v="36"/>
    <n v="32929.129999999997"/>
    <x v="0"/>
    <n v="150300"/>
    <n v="0"/>
    <n v="121"/>
    <m/>
  </r>
  <r>
    <d v="2026-01-15T00:00:00"/>
    <x v="14"/>
    <x v="2"/>
    <x v="2"/>
    <s v="Metro Wholesale"/>
    <n v="187"/>
    <n v="25"/>
    <x v="0"/>
    <n v="120"/>
    <n v="1927.14"/>
    <n v="31"/>
    <n v="3879.96"/>
    <x v="0"/>
    <n v="22440"/>
    <n v="0"/>
    <n v="162"/>
    <m/>
  </r>
  <r>
    <d v="2026-01-16T00:00:00"/>
    <x v="12"/>
    <x v="4"/>
    <x v="2"/>
    <s v="National Suppliers"/>
    <n v="229"/>
    <n v="18"/>
    <x v="0"/>
    <n v="850"/>
    <n v="54228.56"/>
    <n v="53"/>
    <n v="43494.98"/>
    <x v="0"/>
    <n v="194650"/>
    <n v="0"/>
    <n v="211"/>
    <m/>
  </r>
  <r>
    <d v="2026-01-17T00:00:00"/>
    <x v="0"/>
    <x v="0"/>
    <x v="1"/>
    <s v="Global Supplies"/>
    <n v="168"/>
    <n v="41"/>
    <x v="0"/>
    <n v="250"/>
    <n v="5216.18"/>
    <n v="16"/>
    <n v="4436.46"/>
    <x v="0"/>
    <n v="42000"/>
    <n v="0"/>
    <n v="127"/>
    <m/>
  </r>
  <r>
    <d v="2026-01-18T00:00:00"/>
    <x v="18"/>
    <x v="2"/>
    <x v="2"/>
    <s v="Greenline Trading"/>
    <n v="221"/>
    <n v="12"/>
    <x v="0"/>
    <n v="3000"/>
    <n v="30006.58"/>
    <n v="38"/>
    <n v="120773.04"/>
    <x v="0"/>
    <n v="663000"/>
    <n v="0"/>
    <n v="209"/>
    <m/>
  </r>
  <r>
    <d v="2026-01-19T00:00:00"/>
    <x v="12"/>
    <x v="4"/>
    <x v="0"/>
    <s v="Metro Wholesale"/>
    <n v="210"/>
    <n v="42"/>
    <x v="0"/>
    <n v="850"/>
    <n v="19492"/>
    <n v="3"/>
    <n v="2555.44"/>
    <x v="0"/>
    <n v="178500"/>
    <n v="0"/>
    <n v="168"/>
    <m/>
  </r>
  <r>
    <d v="2026-01-20T00:00:00"/>
    <x v="0"/>
    <x v="0"/>
    <x v="5"/>
    <s v="Star Enterprises"/>
    <n v="77"/>
    <n v="47"/>
    <x v="0"/>
    <n v="250"/>
    <n v="973.15"/>
    <n v="7"/>
    <n v="1974.04"/>
    <x v="0"/>
    <n v="19250"/>
    <n v="0"/>
    <n v="30"/>
    <m/>
  </r>
  <r>
    <d v="2026-01-21T00:00:00"/>
    <x v="16"/>
    <x v="2"/>
    <x v="2"/>
    <s v="Star Enterprises"/>
    <n v="246"/>
    <n v="31"/>
    <x v="0"/>
    <n v="1200"/>
    <n v="69830.98"/>
    <n v="59"/>
    <n v="75516.22"/>
    <x v="0"/>
    <n v="295200"/>
    <n v="0"/>
    <n v="215"/>
    <m/>
  </r>
  <r>
    <d v="2026-01-22T00:00:00"/>
    <x v="9"/>
    <x v="1"/>
    <x v="2"/>
    <s v="Metro Wholesale"/>
    <n v="75"/>
    <n v="26"/>
    <x v="0"/>
    <n v="2200"/>
    <n v="40295.83"/>
    <n v="16"/>
    <n v="34786.67"/>
    <x v="0"/>
    <n v="165000"/>
    <n v="0"/>
    <n v="49"/>
    <m/>
  </r>
  <r>
    <d v="2026-01-23T00:00:00"/>
    <x v="9"/>
    <x v="1"/>
    <x v="3"/>
    <s v="ABC Distributors"/>
    <n v="235"/>
    <n v="16"/>
    <x v="0"/>
    <n v="2200"/>
    <n v="44273.86"/>
    <n v="18"/>
    <n v="44407.67"/>
    <x v="0"/>
    <n v="517000"/>
    <n v="0"/>
    <n v="219"/>
    <m/>
  </r>
  <r>
    <d v="2026-01-24T00:00:00"/>
    <x v="2"/>
    <x v="2"/>
    <x v="4"/>
    <s v="Prime Traders"/>
    <n v="140"/>
    <n v="47"/>
    <x v="0"/>
    <n v="18"/>
    <n v="635.30999999999995"/>
    <n v="12"/>
    <n v="236.96"/>
    <x v="0"/>
    <n v="2520"/>
    <n v="0"/>
    <n v="93"/>
    <m/>
  </r>
  <r>
    <d v="2026-01-25T00:00:00"/>
    <x v="1"/>
    <x v="1"/>
    <x v="2"/>
    <s v="ABC Distributors"/>
    <n v="56"/>
    <n v="34"/>
    <x v="0"/>
    <n v="2800"/>
    <n v="19834.060000000001"/>
    <n v="8"/>
    <n v="21633.78"/>
    <x v="0"/>
    <n v="156800"/>
    <n v="0"/>
    <n v="22"/>
    <m/>
  </r>
  <r>
    <d v="2026-01-26T00:00:00"/>
    <x v="3"/>
    <x v="3"/>
    <x v="2"/>
    <s v="Greenline Trading"/>
    <n v="11"/>
    <n v="20"/>
    <x v="1"/>
    <n v="1100"/>
    <n v="998.8"/>
    <n v="1"/>
    <n v="1114.96"/>
    <x v="0"/>
    <n v="12100"/>
    <n v="9"/>
    <n v="0"/>
    <m/>
  </r>
  <r>
    <d v="2026-01-27T00:00:00"/>
    <x v="16"/>
    <x v="2"/>
    <x v="3"/>
    <s v="Star Enterprises"/>
    <n v="92"/>
    <n v="12"/>
    <x v="0"/>
    <n v="1200"/>
    <n v="9056.0499999999993"/>
    <n v="19"/>
    <n v="25108.33"/>
    <x v="0"/>
    <n v="110400"/>
    <n v="0"/>
    <n v="80"/>
    <m/>
  </r>
  <r>
    <d v="2026-01-28T00:00:00"/>
    <x v="15"/>
    <x v="4"/>
    <x v="2"/>
    <s v="ABC Distributors"/>
    <n v="177"/>
    <n v="22"/>
    <x v="0"/>
    <n v="1500"/>
    <n v="44675.35"/>
    <n v="4"/>
    <n v="6687.14"/>
    <x v="0"/>
    <n v="265500"/>
    <n v="0"/>
    <n v="155"/>
    <m/>
  </r>
  <r>
    <d v="2026-01-29T00:00:00"/>
    <x v="9"/>
    <x v="1"/>
    <x v="3"/>
    <s v="ABC Distributors"/>
    <n v="91"/>
    <n v="44"/>
    <x v="0"/>
    <n v="2200"/>
    <n v="26552.77"/>
    <n v="8"/>
    <n v="18941.78"/>
    <x v="0"/>
    <n v="200200"/>
    <n v="0"/>
    <n v="47"/>
    <m/>
  </r>
  <r>
    <d v="2026-01-30T00:00:00"/>
    <x v="17"/>
    <x v="1"/>
    <x v="2"/>
    <s v="Global Supplies"/>
    <n v="26"/>
    <n v="46"/>
    <x v="1"/>
    <n v="1200"/>
    <n v="3975.06"/>
    <n v="6"/>
    <n v="7115.66"/>
    <x v="0"/>
    <n v="31200"/>
    <n v="20"/>
    <n v="0"/>
    <m/>
  </r>
  <r>
    <d v="2026-01-31T00:00:00"/>
    <x v="9"/>
    <x v="1"/>
    <x v="0"/>
    <s v="Metro Wholesale"/>
    <n v="145"/>
    <n v="21"/>
    <x v="0"/>
    <n v="2200"/>
    <n v="52621.57"/>
    <n v="14"/>
    <n v="34719.54"/>
    <x v="0"/>
    <n v="319000"/>
    <n v="0"/>
    <n v="124"/>
    <m/>
  </r>
  <r>
    <d v="2026-02-01T00:00:00"/>
    <x v="17"/>
    <x v="1"/>
    <x v="2"/>
    <s v="Greenline Trading"/>
    <n v="245"/>
    <n v="13"/>
    <x v="0"/>
    <n v="1200"/>
    <n v="12897.96"/>
    <n v="13"/>
    <n v="17729.689999999999"/>
    <x v="1"/>
    <n v="294000"/>
    <n v="0"/>
    <n v="232"/>
    <m/>
  </r>
  <r>
    <d v="2026-02-02T00:00:00"/>
    <x v="2"/>
    <x v="2"/>
    <x v="3"/>
    <s v="National Suppliers"/>
    <n v="59"/>
    <n v="25"/>
    <x v="0"/>
    <n v="18"/>
    <n v="257.87"/>
    <n v="8"/>
    <n v="158.03"/>
    <x v="1"/>
    <n v="1062"/>
    <n v="0"/>
    <n v="34"/>
    <m/>
  </r>
  <r>
    <d v="2026-02-03T00:00:00"/>
    <x v="1"/>
    <x v="1"/>
    <x v="2"/>
    <s v="Star Enterprises"/>
    <n v="68"/>
    <n v="38"/>
    <x v="0"/>
    <n v="2800"/>
    <n v="2177.9"/>
    <n v="10"/>
    <n v="28023.7"/>
    <x v="1"/>
    <n v="190400"/>
    <n v="0"/>
    <n v="30"/>
    <m/>
  </r>
  <r>
    <d v="2026-02-04T00:00:00"/>
    <x v="11"/>
    <x v="2"/>
    <x v="2"/>
    <s v="National Suppliers"/>
    <n v="240"/>
    <n v="44"/>
    <x v="0"/>
    <n v="45"/>
    <n v="381.67"/>
    <n v="56"/>
    <n v="2432.08"/>
    <x v="1"/>
    <n v="10800"/>
    <n v="0"/>
    <n v="196"/>
    <m/>
  </r>
  <r>
    <d v="2026-02-05T00:00:00"/>
    <x v="11"/>
    <x v="2"/>
    <x v="0"/>
    <s v="National Suppliers"/>
    <n v="129"/>
    <n v="46"/>
    <x v="0"/>
    <n v="45"/>
    <n v="458.44"/>
    <n v="2"/>
    <n v="89.94"/>
    <x v="1"/>
    <n v="5805"/>
    <n v="0"/>
    <n v="83"/>
    <m/>
  </r>
  <r>
    <d v="2026-02-06T00:00:00"/>
    <x v="19"/>
    <x v="4"/>
    <x v="2"/>
    <s v="Greenline Trading"/>
    <n v="88"/>
    <n v="13"/>
    <x v="0"/>
    <n v="900"/>
    <n v="13664.4"/>
    <n v="13"/>
    <n v="11587.32"/>
    <x v="1"/>
    <n v="79200"/>
    <n v="0"/>
    <n v="75"/>
    <m/>
  </r>
  <r>
    <d v="2026-02-07T00:00:00"/>
    <x v="15"/>
    <x v="4"/>
    <x v="2"/>
    <s v="Greenline Trading"/>
    <n v="137"/>
    <n v="44"/>
    <x v="0"/>
    <n v="1500"/>
    <n v="8342.41"/>
    <n v="13"/>
    <n v="20071.939999999999"/>
    <x v="1"/>
    <n v="205500"/>
    <n v="0"/>
    <n v="93"/>
    <m/>
  </r>
  <r>
    <d v="2026-02-08T00:00:00"/>
    <x v="1"/>
    <x v="1"/>
    <x v="1"/>
    <s v="ABC Distributors"/>
    <n v="222"/>
    <n v="45"/>
    <x v="0"/>
    <n v="2800"/>
    <n v="21616.46"/>
    <n v="29"/>
    <n v="81815.179999999993"/>
    <x v="1"/>
    <n v="621600"/>
    <n v="0"/>
    <n v="177"/>
    <m/>
  </r>
  <r>
    <d v="2026-02-09T00:00:00"/>
    <x v="7"/>
    <x v="3"/>
    <x v="3"/>
    <s v="National Suppliers"/>
    <n v="144"/>
    <n v="48"/>
    <x v="0"/>
    <n v="650"/>
    <n v="3581.47"/>
    <n v="34"/>
    <n v="21129.16"/>
    <x v="1"/>
    <n v="93600"/>
    <n v="0"/>
    <n v="96"/>
    <m/>
  </r>
  <r>
    <d v="2026-02-10T00:00:00"/>
    <x v="14"/>
    <x v="2"/>
    <x v="2"/>
    <s v="Global Supplies"/>
    <n v="148"/>
    <n v="47"/>
    <x v="0"/>
    <n v="120"/>
    <n v="898.41"/>
    <n v="23"/>
    <n v="2845.61"/>
    <x v="1"/>
    <n v="17760"/>
    <n v="0"/>
    <n v="101"/>
    <m/>
  </r>
  <r>
    <d v="2026-02-11T00:00:00"/>
    <x v="19"/>
    <x v="4"/>
    <x v="5"/>
    <s v="National Suppliers"/>
    <n v="221"/>
    <n v="31"/>
    <x v="0"/>
    <n v="900"/>
    <n v="17003.18"/>
    <n v="8"/>
    <n v="7643.25"/>
    <x v="1"/>
    <n v="198900"/>
    <n v="0"/>
    <n v="190"/>
    <m/>
  </r>
  <r>
    <d v="2026-02-12T00:00:00"/>
    <x v="4"/>
    <x v="0"/>
    <x v="4"/>
    <s v="Prime Traders"/>
    <n v="168"/>
    <n v="33"/>
    <x v="0"/>
    <n v="8500"/>
    <n v="153392.06"/>
    <n v="10"/>
    <n v="95026.95"/>
    <x v="1"/>
    <n v="1428000"/>
    <n v="0"/>
    <n v="135"/>
    <m/>
  </r>
  <r>
    <d v="2026-02-13T00:00:00"/>
    <x v="1"/>
    <x v="1"/>
    <x v="2"/>
    <s v="Global Supplies"/>
    <n v="96"/>
    <n v="32"/>
    <x v="0"/>
    <n v="2800"/>
    <n v="78878.070000000007"/>
    <n v="18"/>
    <n v="50729.29"/>
    <x v="1"/>
    <n v="268800"/>
    <n v="0"/>
    <n v="64"/>
    <m/>
  </r>
  <r>
    <d v="2026-02-14T00:00:00"/>
    <x v="10"/>
    <x v="0"/>
    <x v="2"/>
    <s v="Metro Wholesale"/>
    <n v="62"/>
    <n v="12"/>
    <x v="0"/>
    <n v="6000"/>
    <n v="18841.46"/>
    <n v="5"/>
    <n v="32640.03"/>
    <x v="1"/>
    <n v="372000"/>
    <n v="0"/>
    <n v="50"/>
    <m/>
  </r>
  <r>
    <d v="2026-02-15T00:00:00"/>
    <x v="19"/>
    <x v="4"/>
    <x v="2"/>
    <s v="Star Enterprises"/>
    <n v="186"/>
    <n v="37"/>
    <x v="0"/>
    <n v="900"/>
    <n v="9089.1200000000008"/>
    <n v="1"/>
    <n v="895.77"/>
    <x v="1"/>
    <n v="167400"/>
    <n v="0"/>
    <n v="149"/>
    <m/>
  </r>
  <r>
    <d v="2026-02-16T00:00:00"/>
    <x v="9"/>
    <x v="1"/>
    <x v="1"/>
    <s v="ABC Distributors"/>
    <n v="71"/>
    <n v="15"/>
    <x v="0"/>
    <n v="2200"/>
    <n v="17974.150000000001"/>
    <n v="15"/>
    <n v="36462.18"/>
    <x v="1"/>
    <n v="156200"/>
    <n v="0"/>
    <n v="56"/>
    <m/>
  </r>
  <r>
    <d v="2026-02-17T00:00:00"/>
    <x v="1"/>
    <x v="1"/>
    <x v="2"/>
    <s v="Star Enterprises"/>
    <n v="183"/>
    <n v="48"/>
    <x v="0"/>
    <n v="2800"/>
    <n v="2401.9499999999998"/>
    <n v="35"/>
    <n v="98099.82"/>
    <x v="1"/>
    <n v="512400"/>
    <n v="0"/>
    <n v="135"/>
    <m/>
  </r>
  <r>
    <d v="2026-02-18T00:00:00"/>
    <x v="2"/>
    <x v="2"/>
    <x v="1"/>
    <s v="Star Enterprises"/>
    <n v="149"/>
    <n v="16"/>
    <x v="0"/>
    <n v="18"/>
    <n v="728.64"/>
    <n v="4"/>
    <n v="68.819999999999993"/>
    <x v="1"/>
    <n v="2682"/>
    <n v="0"/>
    <n v="133"/>
    <m/>
  </r>
  <r>
    <d v="2026-02-19T00:00:00"/>
    <x v="5"/>
    <x v="1"/>
    <x v="2"/>
    <s v="ABC Distributors"/>
    <n v="54"/>
    <n v="34"/>
    <x v="0"/>
    <n v="3500"/>
    <n v="47097.39"/>
    <n v="1"/>
    <n v="3714.14"/>
    <x v="1"/>
    <n v="189000"/>
    <n v="0"/>
    <n v="20"/>
    <m/>
  </r>
  <r>
    <d v="2026-02-20T00:00:00"/>
    <x v="10"/>
    <x v="0"/>
    <x v="2"/>
    <s v="ABC Distributors"/>
    <n v="239"/>
    <n v="43"/>
    <x v="0"/>
    <n v="6000"/>
    <n v="175649.47"/>
    <n v="25"/>
    <n v="160139.75"/>
    <x v="1"/>
    <n v="1434000"/>
    <n v="0"/>
    <n v="196"/>
    <m/>
  </r>
  <r>
    <d v="2026-02-21T00:00:00"/>
    <x v="15"/>
    <x v="4"/>
    <x v="2"/>
    <s v="Greenline Trading"/>
    <n v="242"/>
    <n v="23"/>
    <x v="0"/>
    <n v="1500"/>
    <n v="15188.54"/>
    <n v="23"/>
    <n v="36255.519999999997"/>
    <x v="1"/>
    <n v="363000"/>
    <n v="0"/>
    <n v="219"/>
    <m/>
  </r>
  <r>
    <d v="2026-02-22T00:00:00"/>
    <x v="7"/>
    <x v="3"/>
    <x v="4"/>
    <s v="National Suppliers"/>
    <n v="101"/>
    <n v="33"/>
    <x v="0"/>
    <n v="650"/>
    <n v="14458.21"/>
    <n v="2"/>
    <n v="1405.41"/>
    <x v="1"/>
    <n v="65650"/>
    <n v="0"/>
    <n v="68"/>
    <m/>
  </r>
  <r>
    <d v="2026-02-23T00:00:00"/>
    <x v="6"/>
    <x v="0"/>
    <x v="4"/>
    <s v="Prime Traders"/>
    <n v="134"/>
    <n v="35"/>
    <x v="0"/>
    <n v="4500"/>
    <n v="120902.17"/>
    <n v="9"/>
    <n v="39985.800000000003"/>
    <x v="1"/>
    <n v="603000"/>
    <n v="0"/>
    <n v="99"/>
    <m/>
  </r>
  <r>
    <d v="2026-02-24T00:00:00"/>
    <x v="4"/>
    <x v="0"/>
    <x v="3"/>
    <s v="Global Supplies"/>
    <n v="79"/>
    <n v="50"/>
    <x v="0"/>
    <n v="8500"/>
    <n v="38889.43"/>
    <n v="17"/>
    <n v="161531.88"/>
    <x v="1"/>
    <n v="671500"/>
    <n v="0"/>
    <n v="29"/>
    <m/>
  </r>
  <r>
    <d v="2026-02-25T00:00:00"/>
    <x v="3"/>
    <x v="3"/>
    <x v="1"/>
    <s v="Star Enterprises"/>
    <n v="109"/>
    <n v="48"/>
    <x v="0"/>
    <n v="1100"/>
    <n v="26703.84"/>
    <n v="13"/>
    <n v="16133.66"/>
    <x v="1"/>
    <n v="119900"/>
    <n v="0"/>
    <n v="61"/>
    <m/>
  </r>
  <r>
    <d v="2026-02-26T00:00:00"/>
    <x v="10"/>
    <x v="0"/>
    <x v="1"/>
    <s v="National Suppliers"/>
    <n v="62"/>
    <n v="10"/>
    <x v="0"/>
    <n v="6000"/>
    <n v="20399.8"/>
    <n v="3"/>
    <n v="19728.900000000001"/>
    <x v="1"/>
    <n v="372000"/>
    <n v="0"/>
    <n v="52"/>
    <m/>
  </r>
  <r>
    <d v="2026-02-27T00:00:00"/>
    <x v="3"/>
    <x v="3"/>
    <x v="2"/>
    <s v="Greenline Trading"/>
    <n v="11"/>
    <n v="20"/>
    <x v="1"/>
    <n v="1100"/>
    <n v="2580.3000000000002"/>
    <n v="2"/>
    <n v="2473.58"/>
    <x v="1"/>
    <n v="12100"/>
    <n v="9"/>
    <n v="0"/>
    <m/>
  </r>
  <r>
    <d v="2026-02-28T00:00:00"/>
    <x v="2"/>
    <x v="2"/>
    <x v="4"/>
    <s v="Global Supplies"/>
    <n v="233"/>
    <n v="31"/>
    <x v="0"/>
    <n v="18"/>
    <n v="706.19"/>
    <n v="13"/>
    <n v="260.12"/>
    <x v="1"/>
    <n v="4194"/>
    <n v="0"/>
    <n v="202"/>
    <m/>
  </r>
  <r>
    <d v="2026-03-01T00:00:00"/>
    <x v="17"/>
    <x v="1"/>
    <x v="2"/>
    <s v="Star Enterprises"/>
    <n v="184"/>
    <n v="39"/>
    <x v="0"/>
    <n v="1200"/>
    <n v="8207.16"/>
    <n v="32"/>
    <n v="42044.93"/>
    <x v="2"/>
    <n v="220800"/>
    <n v="0"/>
    <n v="145"/>
    <m/>
  </r>
  <r>
    <d v="2026-03-02T00:00:00"/>
    <x v="1"/>
    <x v="1"/>
    <x v="2"/>
    <s v="Metro Wholesale"/>
    <n v="56"/>
    <n v="28"/>
    <x v="0"/>
    <n v="2800"/>
    <n v="34616.639999999999"/>
    <n v="9"/>
    <n v="28631.88"/>
    <x v="2"/>
    <n v="156800"/>
    <n v="0"/>
    <n v="28"/>
    <m/>
  </r>
  <r>
    <d v="2026-03-03T00:00:00"/>
    <x v="8"/>
    <x v="3"/>
    <x v="3"/>
    <s v="National Suppliers"/>
    <n v="167"/>
    <n v="30"/>
    <x v="0"/>
    <n v="1400"/>
    <n v="65876.08"/>
    <n v="31"/>
    <n v="48376"/>
    <x v="2"/>
    <n v="233800"/>
    <n v="0"/>
    <n v="137"/>
    <m/>
  </r>
  <r>
    <d v="2026-03-04T00:00:00"/>
    <x v="19"/>
    <x v="4"/>
    <x v="3"/>
    <s v="Star Enterprises"/>
    <n v="12"/>
    <n v="38"/>
    <x v="1"/>
    <n v="900"/>
    <n v="3196.46"/>
    <n v="1"/>
    <n v="976.77"/>
    <x v="2"/>
    <n v="10800"/>
    <n v="26"/>
    <n v="0"/>
    <m/>
  </r>
  <r>
    <d v="2026-03-05T00:00:00"/>
    <x v="7"/>
    <x v="3"/>
    <x v="5"/>
    <s v="National Suppliers"/>
    <n v="12"/>
    <n v="46"/>
    <x v="1"/>
    <n v="650"/>
    <n v="1058.98"/>
    <n v="1"/>
    <n v="747.12"/>
    <x v="2"/>
    <n v="7800"/>
    <n v="34"/>
    <n v="0"/>
    <m/>
  </r>
  <r>
    <d v="2026-03-06T00:00:00"/>
    <x v="7"/>
    <x v="3"/>
    <x v="1"/>
    <s v="Metro Wholesale"/>
    <n v="157"/>
    <n v="22"/>
    <x v="0"/>
    <n v="650"/>
    <n v="11268.33"/>
    <n v="16"/>
    <n v="11596.43"/>
    <x v="2"/>
    <n v="102050"/>
    <n v="0"/>
    <n v="135"/>
    <m/>
  </r>
  <r>
    <d v="2026-03-07T00:00:00"/>
    <x v="15"/>
    <x v="4"/>
    <x v="4"/>
    <s v="Global Supplies"/>
    <n v="117"/>
    <n v="15"/>
    <x v="0"/>
    <n v="1500"/>
    <n v="45075.87"/>
    <n v="14"/>
    <n v="20493.400000000001"/>
    <x v="2"/>
    <n v="175500"/>
    <n v="0"/>
    <n v="102"/>
    <m/>
  </r>
  <r>
    <d v="2026-03-08T00:00:00"/>
    <x v="14"/>
    <x v="2"/>
    <x v="2"/>
    <s v="Greenline Trading"/>
    <n v="111"/>
    <n v="35"/>
    <x v="0"/>
    <n v="120"/>
    <n v="788.54"/>
    <n v="7"/>
    <n v="904.64"/>
    <x v="2"/>
    <n v="13320"/>
    <n v="0"/>
    <n v="76"/>
    <m/>
  </r>
  <r>
    <d v="2026-03-09T00:00:00"/>
    <x v="15"/>
    <x v="4"/>
    <x v="0"/>
    <s v="ABC Distributors"/>
    <n v="128"/>
    <n v="29"/>
    <x v="0"/>
    <n v="1500"/>
    <n v="59384.98"/>
    <n v="7"/>
    <n v="11901.84"/>
    <x v="2"/>
    <n v="192000"/>
    <n v="0"/>
    <n v="99"/>
    <m/>
  </r>
  <r>
    <d v="2026-03-10T00:00:00"/>
    <x v="18"/>
    <x v="2"/>
    <x v="3"/>
    <s v="Star Enterprises"/>
    <n v="220"/>
    <n v="38"/>
    <x v="0"/>
    <n v="3000"/>
    <n v="117616.78"/>
    <n v="10"/>
    <n v="32562.91"/>
    <x v="2"/>
    <n v="660000"/>
    <n v="0"/>
    <n v="182"/>
    <m/>
  </r>
  <r>
    <d v="2026-03-11T00:00:00"/>
    <x v="7"/>
    <x v="3"/>
    <x v="5"/>
    <s v="ABC Distributors"/>
    <n v="41"/>
    <n v="13"/>
    <x v="0"/>
    <n v="650"/>
    <n v="1745.22"/>
    <n v="9"/>
    <n v="5691.1"/>
    <x v="2"/>
    <n v="26650"/>
    <n v="0"/>
    <n v="28"/>
    <m/>
  </r>
  <r>
    <d v="2026-03-12T00:00:00"/>
    <x v="7"/>
    <x v="3"/>
    <x v="1"/>
    <s v="Metro Wholesale"/>
    <n v="91"/>
    <n v="10"/>
    <x v="0"/>
    <n v="650"/>
    <n v="8545.36"/>
    <n v="14"/>
    <n v="9707.17"/>
    <x v="2"/>
    <n v="59150"/>
    <n v="0"/>
    <n v="81"/>
    <m/>
  </r>
  <r>
    <d v="2026-03-13T00:00:00"/>
    <x v="13"/>
    <x v="0"/>
    <x v="0"/>
    <s v="National Suppliers"/>
    <n v="27"/>
    <n v="29"/>
    <x v="1"/>
    <n v="450"/>
    <n v="1688.68"/>
    <n v="2"/>
    <n v="946.25"/>
    <x v="2"/>
    <n v="12150"/>
    <n v="2"/>
    <n v="0"/>
    <m/>
  </r>
  <r>
    <d v="2026-03-14T00:00:00"/>
    <x v="5"/>
    <x v="1"/>
    <x v="4"/>
    <s v="ABC Distributors"/>
    <n v="126"/>
    <n v="10"/>
    <x v="0"/>
    <n v="3500"/>
    <n v="22803.41"/>
    <n v="15"/>
    <n v="58756.42"/>
    <x v="2"/>
    <n v="441000"/>
    <n v="0"/>
    <n v="116"/>
    <m/>
  </r>
  <r>
    <d v="2026-03-15T00:00:00"/>
    <x v="11"/>
    <x v="2"/>
    <x v="2"/>
    <s v="Prime Traders"/>
    <n v="180"/>
    <n v="35"/>
    <x v="0"/>
    <n v="45"/>
    <n v="1545.76"/>
    <n v="34"/>
    <n v="1718.02"/>
    <x v="2"/>
    <n v="8100"/>
    <n v="0"/>
    <n v="145"/>
    <m/>
  </r>
  <r>
    <d v="2026-03-16T00:00:00"/>
    <x v="14"/>
    <x v="2"/>
    <x v="0"/>
    <s v="Greenline Trading"/>
    <n v="106"/>
    <n v="12"/>
    <x v="0"/>
    <n v="120"/>
    <n v="3155.07"/>
    <n v="2"/>
    <n v="233.45"/>
    <x v="2"/>
    <n v="12720"/>
    <n v="0"/>
    <n v="94"/>
    <m/>
  </r>
  <r>
    <d v="2026-03-17T00:00:00"/>
    <x v="13"/>
    <x v="0"/>
    <x v="0"/>
    <s v="National Suppliers"/>
    <n v="187"/>
    <n v="11"/>
    <x v="0"/>
    <n v="450"/>
    <n v="11058.55"/>
    <n v="45"/>
    <n v="22483.71"/>
    <x v="2"/>
    <n v="84150"/>
    <n v="0"/>
    <n v="176"/>
    <m/>
  </r>
  <r>
    <d v="2026-03-18T00:00:00"/>
    <x v="12"/>
    <x v="4"/>
    <x v="5"/>
    <s v="Metro Wholesale"/>
    <n v="27"/>
    <n v="18"/>
    <x v="0"/>
    <n v="850"/>
    <n v="1613.93"/>
    <n v="2"/>
    <n v="1761.32"/>
    <x v="2"/>
    <n v="22950"/>
    <n v="0"/>
    <n v="9"/>
    <m/>
  </r>
  <r>
    <d v="2026-03-19T00:00:00"/>
    <x v="17"/>
    <x v="1"/>
    <x v="1"/>
    <s v="Metro Wholesale"/>
    <n v="124"/>
    <n v="46"/>
    <x v="0"/>
    <n v="1200"/>
    <n v="23128.06"/>
    <n v="26"/>
    <n v="30417.89"/>
    <x v="2"/>
    <n v="148800"/>
    <n v="0"/>
    <n v="78"/>
    <m/>
  </r>
  <r>
    <d v="2026-03-20T00:00:00"/>
    <x v="13"/>
    <x v="0"/>
    <x v="2"/>
    <s v="Prime Traders"/>
    <n v="55"/>
    <n v="30"/>
    <x v="0"/>
    <n v="450"/>
    <n v="1998.4"/>
    <n v="7"/>
    <n v="3431.69"/>
    <x v="2"/>
    <n v="24750"/>
    <n v="0"/>
    <n v="25"/>
    <m/>
  </r>
  <r>
    <d v="2026-03-21T00:00:00"/>
    <x v="5"/>
    <x v="1"/>
    <x v="1"/>
    <s v="Greenline Trading"/>
    <n v="122"/>
    <n v="39"/>
    <x v="0"/>
    <n v="3500"/>
    <n v="56626.21"/>
    <n v="20"/>
    <n v="69893.740000000005"/>
    <x v="2"/>
    <n v="427000"/>
    <n v="0"/>
    <n v="83"/>
    <m/>
  </r>
  <r>
    <d v="2026-03-22T00:00:00"/>
    <x v="19"/>
    <x v="4"/>
    <x v="1"/>
    <s v="Global Supplies"/>
    <n v="58"/>
    <n v="13"/>
    <x v="0"/>
    <n v="900"/>
    <n v="5959.7"/>
    <n v="5"/>
    <n v="4519.22"/>
    <x v="2"/>
    <n v="52200"/>
    <n v="0"/>
    <n v="45"/>
    <m/>
  </r>
  <r>
    <d v="2026-03-23T00:00:00"/>
    <x v="16"/>
    <x v="2"/>
    <x v="1"/>
    <s v="Greenline Trading"/>
    <n v="165"/>
    <n v="28"/>
    <x v="0"/>
    <n v="1200"/>
    <n v="33709.769999999997"/>
    <n v="10"/>
    <n v="12069.29"/>
    <x v="2"/>
    <n v="198000"/>
    <n v="0"/>
    <n v="137"/>
    <m/>
  </r>
  <r>
    <d v="2026-03-24T00:00:00"/>
    <x v="11"/>
    <x v="2"/>
    <x v="2"/>
    <s v="Greenline Trading"/>
    <n v="30"/>
    <n v="41"/>
    <x v="1"/>
    <n v="45"/>
    <n v="78.78"/>
    <n v="5"/>
    <n v="229.9"/>
    <x v="2"/>
    <n v="1350"/>
    <n v="11"/>
    <n v="0"/>
    <m/>
  </r>
  <r>
    <d v="2026-03-25T00:00:00"/>
    <x v="19"/>
    <x v="4"/>
    <x v="2"/>
    <s v="National Suppliers"/>
    <n v="71"/>
    <n v="10"/>
    <x v="0"/>
    <n v="900"/>
    <n v="6583.58"/>
    <n v="5"/>
    <n v="5003.2700000000004"/>
    <x v="2"/>
    <n v="63900"/>
    <n v="0"/>
    <n v="61"/>
    <m/>
  </r>
  <r>
    <d v="2026-03-26T00:00:00"/>
    <x v="7"/>
    <x v="3"/>
    <x v="2"/>
    <s v="Prime Traders"/>
    <n v="45"/>
    <n v="49"/>
    <x v="1"/>
    <n v="650"/>
    <n v="6148.46"/>
    <n v="10"/>
    <n v="7329.16"/>
    <x v="2"/>
    <n v="29250"/>
    <n v="4"/>
    <n v="0"/>
    <m/>
  </r>
  <r>
    <d v="2026-03-27T00:00:00"/>
    <x v="16"/>
    <x v="2"/>
    <x v="0"/>
    <s v="Global Supplies"/>
    <n v="153"/>
    <n v="43"/>
    <x v="0"/>
    <n v="1200"/>
    <n v="5711.09"/>
    <n v="32"/>
    <n v="41238.43"/>
    <x v="2"/>
    <n v="183600"/>
    <n v="0"/>
    <n v="110"/>
    <m/>
  </r>
  <r>
    <d v="2026-03-28T00:00:00"/>
    <x v="6"/>
    <x v="0"/>
    <x v="5"/>
    <s v="National Suppliers"/>
    <n v="200"/>
    <n v="14"/>
    <x v="0"/>
    <n v="4500"/>
    <n v="216826.83"/>
    <n v="7"/>
    <n v="32754.48"/>
    <x v="2"/>
    <n v="900000"/>
    <n v="0"/>
    <n v="186"/>
    <m/>
  </r>
  <r>
    <d v="2026-03-29T00:00:00"/>
    <x v="18"/>
    <x v="2"/>
    <x v="4"/>
    <s v="ABC Distributors"/>
    <n v="76"/>
    <n v="36"/>
    <x v="0"/>
    <n v="3000"/>
    <n v="58957.23"/>
    <n v="8"/>
    <n v="24659.15"/>
    <x v="2"/>
    <n v="228000"/>
    <n v="0"/>
    <n v="40"/>
    <m/>
  </r>
  <r>
    <d v="2026-03-30T00:00:00"/>
    <x v="2"/>
    <x v="2"/>
    <x v="2"/>
    <s v="Metro Wholesale"/>
    <n v="236"/>
    <n v="32"/>
    <x v="0"/>
    <n v="18"/>
    <n v="814.38"/>
    <n v="18"/>
    <n v="346.27"/>
    <x v="2"/>
    <n v="4248"/>
    <n v="0"/>
    <n v="204"/>
    <m/>
  </r>
  <r>
    <d v="2026-03-31T00:00:00"/>
    <x v="12"/>
    <x v="4"/>
    <x v="0"/>
    <s v="ABC Distributors"/>
    <n v="172"/>
    <n v="16"/>
    <x v="0"/>
    <n v="850"/>
    <n v="9142.7199999999993"/>
    <n v="38"/>
    <n v="34823.5"/>
    <x v="2"/>
    <n v="146200"/>
    <n v="0"/>
    <n v="156"/>
    <m/>
  </r>
  <r>
    <d v="2026-04-01T00:00:00"/>
    <x v="12"/>
    <x v="4"/>
    <x v="2"/>
    <s v="Prime Traders"/>
    <n v="135"/>
    <n v="21"/>
    <x v="0"/>
    <n v="850"/>
    <n v="14027.44"/>
    <n v="4"/>
    <n v="3822.06"/>
    <x v="3"/>
    <n v="114750"/>
    <n v="0"/>
    <n v="114"/>
    <m/>
  </r>
  <r>
    <d v="2026-04-02T00:00:00"/>
    <x v="3"/>
    <x v="3"/>
    <x v="1"/>
    <s v="Metro Wholesale"/>
    <n v="209"/>
    <n v="18"/>
    <x v="0"/>
    <n v="1100"/>
    <n v="57628.05"/>
    <n v="28"/>
    <n v="32327.37"/>
    <x v="3"/>
    <n v="229900"/>
    <n v="0"/>
    <n v="191"/>
    <m/>
  </r>
  <r>
    <d v="2026-04-03T00:00:00"/>
    <x v="4"/>
    <x v="0"/>
    <x v="2"/>
    <s v="National Suppliers"/>
    <n v="190"/>
    <n v="22"/>
    <x v="0"/>
    <n v="8500"/>
    <n v="397292.3"/>
    <n v="1"/>
    <n v="8265.2000000000007"/>
    <x v="3"/>
    <n v="1615000"/>
    <n v="0"/>
    <n v="168"/>
    <m/>
  </r>
  <r>
    <d v="2026-04-04T00:00:00"/>
    <x v="12"/>
    <x v="4"/>
    <x v="2"/>
    <s v="ABC Distributors"/>
    <n v="204"/>
    <n v="17"/>
    <x v="0"/>
    <n v="850"/>
    <n v="15618.68"/>
    <n v="8"/>
    <n v="7055.74"/>
    <x v="3"/>
    <n v="173400"/>
    <n v="0"/>
    <n v="187"/>
    <m/>
  </r>
  <r>
    <d v="2026-04-05T00:00:00"/>
    <x v="16"/>
    <x v="2"/>
    <x v="2"/>
    <s v="Metro Wholesale"/>
    <n v="195"/>
    <n v="30"/>
    <x v="0"/>
    <n v="1200"/>
    <n v="52533.88"/>
    <n v="29"/>
    <n v="38523.72"/>
    <x v="3"/>
    <n v="234000"/>
    <n v="0"/>
    <n v="165"/>
    <m/>
  </r>
  <r>
    <d v="2026-04-06T00:00:00"/>
    <x v="18"/>
    <x v="2"/>
    <x v="3"/>
    <s v="Greenline Trading"/>
    <n v="148"/>
    <n v="26"/>
    <x v="0"/>
    <n v="3000"/>
    <n v="53381.41"/>
    <n v="14"/>
    <n v="39900.25"/>
    <x v="3"/>
    <n v="444000"/>
    <n v="0"/>
    <n v="122"/>
    <m/>
  </r>
  <r>
    <d v="2026-04-07T00:00:00"/>
    <x v="3"/>
    <x v="3"/>
    <x v="4"/>
    <s v="Global Supplies"/>
    <n v="203"/>
    <n v="48"/>
    <x v="0"/>
    <n v="1100"/>
    <n v="20708.95"/>
    <n v="50"/>
    <n v="52628.15"/>
    <x v="3"/>
    <n v="223300"/>
    <n v="0"/>
    <n v="155"/>
    <m/>
  </r>
  <r>
    <d v="2026-04-08T00:00:00"/>
    <x v="12"/>
    <x v="4"/>
    <x v="4"/>
    <s v="Greenline Trading"/>
    <n v="99"/>
    <n v="41"/>
    <x v="0"/>
    <n v="850"/>
    <n v="25647.8"/>
    <n v="20"/>
    <n v="18765.46"/>
    <x v="3"/>
    <n v="84150"/>
    <n v="0"/>
    <n v="58"/>
    <m/>
  </r>
  <r>
    <d v="2026-04-09T00:00:00"/>
    <x v="16"/>
    <x v="2"/>
    <x v="5"/>
    <s v="Star Enterprises"/>
    <n v="192"/>
    <n v="31"/>
    <x v="0"/>
    <n v="1200"/>
    <n v="14107.12"/>
    <n v="28"/>
    <n v="36300.769999999997"/>
    <x v="3"/>
    <n v="230400"/>
    <n v="0"/>
    <n v="161"/>
    <m/>
  </r>
  <r>
    <d v="2026-04-10T00:00:00"/>
    <x v="15"/>
    <x v="4"/>
    <x v="1"/>
    <s v="Global Supplies"/>
    <n v="102"/>
    <n v="30"/>
    <x v="0"/>
    <n v="1500"/>
    <n v="13665.52"/>
    <n v="21"/>
    <n v="31095.39"/>
    <x v="3"/>
    <n v="153000"/>
    <n v="0"/>
    <n v="72"/>
    <m/>
  </r>
  <r>
    <d v="2026-04-11T00:00:00"/>
    <x v="5"/>
    <x v="1"/>
    <x v="0"/>
    <s v="Prime Traders"/>
    <n v="142"/>
    <n v="20"/>
    <x v="0"/>
    <n v="3500"/>
    <n v="48898.35"/>
    <n v="2"/>
    <n v="6886.25"/>
    <x v="3"/>
    <n v="497000"/>
    <n v="0"/>
    <n v="122"/>
    <m/>
  </r>
  <r>
    <d v="2026-04-12T00:00:00"/>
    <x v="8"/>
    <x v="3"/>
    <x v="1"/>
    <s v="Global Supplies"/>
    <n v="82"/>
    <n v="42"/>
    <x v="0"/>
    <n v="1400"/>
    <n v="6539.93"/>
    <n v="5"/>
    <n v="7461.76"/>
    <x v="3"/>
    <n v="114800"/>
    <n v="0"/>
    <n v="40"/>
    <m/>
  </r>
  <r>
    <d v="2026-04-13T00:00:00"/>
    <x v="11"/>
    <x v="2"/>
    <x v="4"/>
    <s v="Global Supplies"/>
    <n v="68"/>
    <n v="47"/>
    <x v="0"/>
    <n v="45"/>
    <n v="343.2"/>
    <n v="5"/>
    <n v="258.3"/>
    <x v="3"/>
    <n v="3060"/>
    <n v="0"/>
    <n v="21"/>
    <m/>
  </r>
  <r>
    <d v="2026-04-14T00:00:00"/>
    <x v="13"/>
    <x v="0"/>
    <x v="3"/>
    <s v="Greenline Trading"/>
    <n v="107"/>
    <n v="36"/>
    <x v="0"/>
    <n v="450"/>
    <n v="13413.79"/>
    <n v="4"/>
    <n v="1799.74"/>
    <x v="3"/>
    <n v="48150"/>
    <n v="0"/>
    <n v="71"/>
    <m/>
  </r>
  <r>
    <d v="2026-04-15T00:00:00"/>
    <x v="16"/>
    <x v="2"/>
    <x v="3"/>
    <s v="ABC Distributors"/>
    <n v="129"/>
    <n v="29"/>
    <x v="0"/>
    <n v="1200"/>
    <n v="39660.879999999997"/>
    <n v="8"/>
    <n v="10018.83"/>
    <x v="3"/>
    <n v="154800"/>
    <n v="0"/>
    <n v="100"/>
    <m/>
  </r>
  <r>
    <d v="2026-04-16T00:00:00"/>
    <x v="16"/>
    <x v="2"/>
    <x v="4"/>
    <s v="Prime Traders"/>
    <n v="39"/>
    <n v="29"/>
    <x v="0"/>
    <n v="1200"/>
    <n v="7407.41"/>
    <n v="4"/>
    <n v="4885.3100000000004"/>
    <x v="3"/>
    <n v="46800"/>
    <n v="0"/>
    <n v="10"/>
    <m/>
  </r>
  <r>
    <d v="2026-04-17T00:00:00"/>
    <x v="14"/>
    <x v="2"/>
    <x v="5"/>
    <s v="Star Enterprises"/>
    <n v="124"/>
    <n v="39"/>
    <x v="0"/>
    <n v="120"/>
    <n v="3559.99"/>
    <n v="29"/>
    <n v="3715.62"/>
    <x v="3"/>
    <n v="14880"/>
    <n v="0"/>
    <n v="85"/>
    <m/>
  </r>
  <r>
    <d v="2026-04-18T00:00:00"/>
    <x v="13"/>
    <x v="0"/>
    <x v="0"/>
    <s v="Prime Traders"/>
    <n v="232"/>
    <n v="28"/>
    <x v="0"/>
    <n v="450"/>
    <n v="5481.62"/>
    <n v="18"/>
    <n v="7751.18"/>
    <x v="3"/>
    <n v="104400"/>
    <n v="0"/>
    <n v="204"/>
    <m/>
  </r>
  <r>
    <d v="2026-04-19T00:00:00"/>
    <x v="18"/>
    <x v="2"/>
    <x v="0"/>
    <s v="Prime Traders"/>
    <n v="64"/>
    <n v="40"/>
    <x v="0"/>
    <n v="3000"/>
    <n v="16471.580000000002"/>
    <n v="15"/>
    <n v="44069.48"/>
    <x v="3"/>
    <n v="192000"/>
    <n v="0"/>
    <n v="24"/>
    <n v="72000"/>
  </r>
  <r>
    <d v="2026-04-20T00:00:00"/>
    <x v="3"/>
    <x v="3"/>
    <x v="2"/>
    <s v="ABC Distributors"/>
    <n v="153"/>
    <n v="44"/>
    <x v="0"/>
    <n v="1100"/>
    <n v="47592.29"/>
    <n v="3"/>
    <n v="3679.63"/>
    <x v="3"/>
    <n v="168300"/>
    <n v="0"/>
    <n v="109"/>
    <m/>
  </r>
  <r>
    <d v="2026-04-21T00:00:00"/>
    <x v="18"/>
    <x v="2"/>
    <x v="3"/>
    <s v="National Suppliers"/>
    <n v="200"/>
    <n v="46"/>
    <x v="0"/>
    <n v="3000"/>
    <n v="50079.34"/>
    <n v="36"/>
    <n v="117805.25"/>
    <x v="3"/>
    <n v="600000"/>
    <n v="0"/>
    <n v="154"/>
    <m/>
  </r>
  <r>
    <d v="2026-04-22T00:00:00"/>
    <x v="16"/>
    <x v="2"/>
    <x v="2"/>
    <s v="Prime Traders"/>
    <n v="211"/>
    <n v="27"/>
    <x v="0"/>
    <n v="1200"/>
    <n v="54001.22"/>
    <n v="35"/>
    <n v="41757.620000000003"/>
    <x v="3"/>
    <n v="253200"/>
    <n v="0"/>
    <n v="184"/>
    <m/>
  </r>
  <r>
    <d v="2026-04-23T00:00:00"/>
    <x v="14"/>
    <x v="2"/>
    <x v="0"/>
    <s v="National Suppliers"/>
    <n v="242"/>
    <n v="25"/>
    <x v="0"/>
    <n v="120"/>
    <n v="479.98"/>
    <n v="26"/>
    <n v="3186.3"/>
    <x v="3"/>
    <n v="29040"/>
    <n v="0"/>
    <n v="217"/>
    <m/>
  </r>
  <r>
    <d v="2026-04-24T00:00:00"/>
    <x v="2"/>
    <x v="2"/>
    <x v="0"/>
    <s v="Prime Traders"/>
    <n v="117"/>
    <n v="43"/>
    <x v="0"/>
    <n v="18"/>
    <n v="307.42"/>
    <n v="13"/>
    <n v="258.52"/>
    <x v="3"/>
    <n v="2106"/>
    <n v="0"/>
    <n v="74"/>
    <m/>
  </r>
  <r>
    <d v="2026-04-25T00:00:00"/>
    <x v="13"/>
    <x v="0"/>
    <x v="1"/>
    <s v="Greenline Trading"/>
    <n v="115"/>
    <n v="11"/>
    <x v="0"/>
    <n v="450"/>
    <n v="3038.26"/>
    <n v="21"/>
    <n v="10684.59"/>
    <x v="3"/>
    <n v="51750"/>
    <n v="0"/>
    <n v="104"/>
    <m/>
  </r>
  <r>
    <d v="2026-04-26T00:00:00"/>
    <x v="15"/>
    <x v="4"/>
    <x v="3"/>
    <s v="ABC Distributors"/>
    <n v="151"/>
    <n v="45"/>
    <x v="0"/>
    <n v="1500"/>
    <n v="44180.74"/>
    <n v="15"/>
    <n v="22302.84"/>
    <x v="3"/>
    <n v="226500"/>
    <n v="0"/>
    <n v="106"/>
    <m/>
  </r>
  <r>
    <d v="2026-04-27T00:00:00"/>
    <x v="5"/>
    <x v="1"/>
    <x v="1"/>
    <s v="Star Enterprises"/>
    <n v="24"/>
    <n v="27"/>
    <x v="1"/>
    <n v="3500"/>
    <n v="16198.37"/>
    <n v="4"/>
    <n v="14239.85"/>
    <x v="3"/>
    <n v="84000"/>
    <n v="3"/>
    <n v="0"/>
    <m/>
  </r>
  <r>
    <d v="2026-04-28T00:00:00"/>
    <x v="10"/>
    <x v="0"/>
    <x v="1"/>
    <s v="Metro Wholesale"/>
    <n v="94"/>
    <n v="12"/>
    <x v="0"/>
    <n v="6000"/>
    <n v="149095.43"/>
    <n v="10"/>
    <n v="64919.81"/>
    <x v="3"/>
    <n v="564000"/>
    <n v="0"/>
    <n v="82"/>
    <m/>
  </r>
  <r>
    <d v="2026-04-29T00:00:00"/>
    <x v="19"/>
    <x v="4"/>
    <x v="2"/>
    <s v="Metro Wholesale"/>
    <n v="164"/>
    <n v="23"/>
    <x v="0"/>
    <n v="900"/>
    <n v="5978.08"/>
    <n v="18"/>
    <n v="15903.94"/>
    <x v="3"/>
    <n v="147600"/>
    <n v="0"/>
    <n v="141"/>
    <m/>
  </r>
  <r>
    <d v="2026-04-30T00:00:00"/>
    <x v="8"/>
    <x v="3"/>
    <x v="0"/>
    <s v="Metro Wholesale"/>
    <n v="69"/>
    <n v="30"/>
    <x v="0"/>
    <n v="1400"/>
    <n v="9245.26"/>
    <n v="16"/>
    <n v="23838.98"/>
    <x v="3"/>
    <n v="96600"/>
    <n v="0"/>
    <n v="39"/>
    <m/>
  </r>
  <r>
    <d v="2026-05-01T00:00:00"/>
    <x v="6"/>
    <x v="0"/>
    <x v="3"/>
    <s v="Star Enterprises"/>
    <n v="15"/>
    <n v="11"/>
    <x v="0"/>
    <n v="4500"/>
    <n v="8153.57"/>
    <n v="2"/>
    <n v="8755.6299999999992"/>
    <x v="4"/>
    <n v="67500"/>
    <n v="0"/>
    <n v="4"/>
    <m/>
  </r>
  <r>
    <d v="2026-05-02T00:00:00"/>
    <x v="9"/>
    <x v="1"/>
    <x v="4"/>
    <s v="Global Supplies"/>
    <n v="196"/>
    <n v="49"/>
    <x v="0"/>
    <n v="2200"/>
    <n v="97039.13"/>
    <n v="44"/>
    <n v="99750.6"/>
    <x v="4"/>
    <n v="431200"/>
    <n v="0"/>
    <n v="147"/>
    <m/>
  </r>
  <r>
    <d v="2026-05-03T00:00:00"/>
    <x v="12"/>
    <x v="4"/>
    <x v="3"/>
    <s v="Greenline Trading"/>
    <n v="220"/>
    <n v="24"/>
    <x v="0"/>
    <n v="850"/>
    <n v="7694.95"/>
    <n v="41"/>
    <n v="38125.94"/>
    <x v="4"/>
    <n v="187000"/>
    <n v="0"/>
    <n v="196"/>
    <m/>
  </r>
  <r>
    <d v="2026-05-04T00:00:00"/>
    <x v="4"/>
    <x v="0"/>
    <x v="1"/>
    <s v="Global Supplies"/>
    <n v="160"/>
    <n v="45"/>
    <x v="0"/>
    <n v="8500"/>
    <n v="15663.68"/>
    <n v="20"/>
    <n v="193416.3"/>
    <x v="4"/>
    <n v="1360000"/>
    <n v="0"/>
    <n v="115"/>
    <m/>
  </r>
  <r>
    <d v="2026-05-05T00:00:00"/>
    <x v="13"/>
    <x v="0"/>
    <x v="1"/>
    <s v="ABC Distributors"/>
    <n v="78"/>
    <n v="14"/>
    <x v="0"/>
    <n v="450"/>
    <n v="3531.78"/>
    <n v="14"/>
    <n v="6155.55"/>
    <x v="4"/>
    <n v="35100"/>
    <n v="0"/>
    <n v="64"/>
    <m/>
  </r>
  <r>
    <d v="2026-05-06T00:00:00"/>
    <x v="16"/>
    <x v="2"/>
    <x v="4"/>
    <s v="Prime Traders"/>
    <n v="247"/>
    <n v="20"/>
    <x v="0"/>
    <n v="1200"/>
    <n v="34719.53"/>
    <n v="14"/>
    <n v="18332.689999999999"/>
    <x v="4"/>
    <n v="296400"/>
    <n v="0"/>
    <n v="227"/>
    <m/>
  </r>
  <r>
    <d v="2026-05-07T00:00:00"/>
    <x v="12"/>
    <x v="4"/>
    <x v="1"/>
    <s v="Metro Wholesale"/>
    <n v="32"/>
    <n v="49"/>
    <x v="1"/>
    <n v="850"/>
    <n v="3199.99"/>
    <n v="2"/>
    <n v="1743.89"/>
    <x v="4"/>
    <n v="27200"/>
    <n v="17"/>
    <n v="0"/>
    <m/>
  </r>
  <r>
    <d v="2026-05-08T00:00:00"/>
    <x v="1"/>
    <x v="1"/>
    <x v="2"/>
    <s v="National Suppliers"/>
    <n v="208"/>
    <n v="46"/>
    <x v="0"/>
    <n v="2800"/>
    <n v="93594.16"/>
    <n v="48"/>
    <n v="133332.24"/>
    <x v="4"/>
    <n v="582400"/>
    <n v="0"/>
    <n v="162"/>
    <m/>
  </r>
  <r>
    <d v="2026-05-09T00:00:00"/>
    <x v="11"/>
    <x v="2"/>
    <x v="4"/>
    <s v="ABC Distributors"/>
    <n v="83"/>
    <n v="26"/>
    <x v="0"/>
    <n v="45"/>
    <n v="221.85"/>
    <n v="17"/>
    <n v="866.42"/>
    <x v="4"/>
    <n v="3735"/>
    <n v="0"/>
    <n v="57"/>
    <m/>
  </r>
  <r>
    <d v="2026-05-10T00:00:00"/>
    <x v="1"/>
    <x v="1"/>
    <x v="2"/>
    <s v="Global Supplies"/>
    <n v="87"/>
    <n v="10"/>
    <x v="0"/>
    <n v="2800"/>
    <n v="39062.9"/>
    <n v="1"/>
    <n v="3051.8"/>
    <x v="4"/>
    <n v="243600"/>
    <n v="0"/>
    <n v="77"/>
    <m/>
  </r>
  <r>
    <d v="2026-05-11T00:00:00"/>
    <x v="16"/>
    <x v="2"/>
    <x v="1"/>
    <s v="Global Supplies"/>
    <n v="107"/>
    <n v="11"/>
    <x v="0"/>
    <n v="1200"/>
    <n v="13528.37"/>
    <n v="8"/>
    <n v="10320.58"/>
    <x v="4"/>
    <n v="128400"/>
    <n v="0"/>
    <n v="96"/>
    <m/>
  </r>
  <r>
    <d v="2026-05-12T00:00:00"/>
    <x v="17"/>
    <x v="1"/>
    <x v="3"/>
    <s v="Prime Traders"/>
    <n v="163"/>
    <n v="32"/>
    <x v="0"/>
    <n v="1200"/>
    <n v="7124.91"/>
    <n v="31"/>
    <n v="37726.26"/>
    <x v="4"/>
    <n v="195600"/>
    <n v="0"/>
    <n v="131"/>
    <m/>
  </r>
  <r>
    <d v="2026-05-13T00:00:00"/>
    <x v="15"/>
    <x v="4"/>
    <x v="3"/>
    <s v="Star Enterprises"/>
    <n v="127"/>
    <n v="25"/>
    <x v="0"/>
    <n v="1500"/>
    <n v="11213.18"/>
    <n v="12"/>
    <n v="19384.400000000001"/>
    <x v="4"/>
    <n v="190500"/>
    <n v="0"/>
    <n v="102"/>
    <m/>
  </r>
  <r>
    <d v="2026-05-14T00:00:00"/>
    <x v="5"/>
    <x v="1"/>
    <x v="2"/>
    <s v="Star Enterprises"/>
    <n v="201"/>
    <n v="39"/>
    <x v="0"/>
    <n v="3500"/>
    <n v="201911.35"/>
    <n v="3"/>
    <n v="11471.98"/>
    <x v="4"/>
    <n v="703500"/>
    <n v="0"/>
    <n v="162"/>
    <m/>
  </r>
  <r>
    <d v="2026-05-15T00:00:00"/>
    <x v="10"/>
    <x v="0"/>
    <x v="3"/>
    <s v="Greenline Trading"/>
    <n v="193"/>
    <n v="16"/>
    <x v="0"/>
    <n v="6000"/>
    <n v="89466.69"/>
    <n v="39"/>
    <n v="238093.91"/>
    <x v="4"/>
    <n v="1158000"/>
    <n v="0"/>
    <n v="177"/>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D84660-5EC5-49EC-B157-369F541E11EB}" name="PivotTable5" cacheId="1" applyNumberFormats="0" applyBorderFormats="0" applyFontFormats="0" applyPatternFormats="0" applyAlignmentFormats="0" applyWidthHeightFormats="1" dataCaption="Values" tag="94d5de67-720d-4ab3-9fb5-b137bb624ff3" updatedVersion="8" minRefreshableVersion="3" useAutoFormatting="1" subtotalHiddenItems="1" itemPrintTitles="1" createdVersion="8" indent="0" outline="1" outlineData="1" multipleFieldFilters="0" chartFormat="7">
  <location ref="M4:N15"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3"/>
    </i>
    <i>
      <x v="4"/>
    </i>
    <i>
      <x v="9"/>
    </i>
    <i>
      <x v="8"/>
    </i>
    <i>
      <x/>
    </i>
    <i>
      <x v="6"/>
    </i>
    <i>
      <x v="5"/>
    </i>
    <i>
      <x v="7"/>
    </i>
    <i>
      <x v="2"/>
    </i>
    <i>
      <x v="1"/>
    </i>
    <i t="grand">
      <x/>
    </i>
  </rowItems>
  <colItems count="1">
    <i/>
  </colItems>
  <dataFields count="1">
    <dataField name="Sum of Above Reorder Inventory Value" fld="1" baseField="0" baseItem="0" numFmtId="166"/>
  </dataFields>
  <formats count="1">
    <format dxfId="43">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9">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ventory Dataset (version 1).xlsb!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E334AA-B33B-4A1D-B5A8-ECF91929743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J4:K10" firstHeaderRow="1" firstDataRow="1" firstDataCol="1"/>
  <pivotFields count="17">
    <pivotField numFmtId="14" showAll="0"/>
    <pivotField showAll="0"/>
    <pivotField axis="axisRow" showAll="0" sortType="descending">
      <items count="6">
        <item x="0"/>
        <item x="4"/>
        <item x="1"/>
        <item x="2"/>
        <item x="3"/>
        <item t="default"/>
      </items>
      <autoSortScope>
        <pivotArea dataOnly="0" outline="0" fieldPosition="0">
          <references count="1">
            <reference field="4294967294" count="1" selected="0">
              <x v="0"/>
            </reference>
          </references>
        </pivotArea>
      </autoSortScope>
    </pivotField>
    <pivotField showAll="0">
      <items count="7">
        <item x="4"/>
        <item x="5"/>
        <item x="0"/>
        <item x="2"/>
        <item x="3"/>
        <item x="1"/>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13">
        <item x="0"/>
        <item x="1"/>
        <item x="2"/>
        <item x="3"/>
        <item x="4"/>
        <item x="5"/>
        <item x="6"/>
        <item x="7"/>
        <item x="8"/>
        <item x="9"/>
        <item x="10"/>
        <item x="11"/>
        <item t="default"/>
      </items>
    </pivotField>
    <pivotField dataField="1" showAll="0"/>
    <pivotField showAll="0"/>
    <pivotField showAll="0"/>
    <pivotField showAll="0"/>
  </pivotFields>
  <rowFields count="1">
    <field x="2"/>
  </rowFields>
  <rowItems count="6">
    <i>
      <x/>
    </i>
    <i>
      <x v="2"/>
    </i>
    <i>
      <x v="3"/>
    </i>
    <i>
      <x v="4"/>
    </i>
    <i>
      <x v="1"/>
    </i>
    <i t="grand">
      <x/>
    </i>
  </rowItems>
  <colItems count="1">
    <i/>
  </colItems>
  <dataFields count="1">
    <dataField name="Sum of Inventory Value" fld="13" baseField="0" baseItem="0"/>
  </dataFields>
  <formats count="1">
    <format dxfId="44">
      <pivotArea outline="0" collapsedLevelsAreSubtotals="1" fieldPosition="0"/>
    </format>
  </formats>
  <chartFormats count="1">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682406-1FD2-4A81-86A6-A4E7B7512C68}" name="PivotTable11" cacheId="5" applyNumberFormats="0" applyBorderFormats="0" applyFontFormats="0" applyPatternFormats="0" applyAlignmentFormats="0" applyWidthHeightFormats="1" dataCaption="Values" tag="cdfe2aab-3cb6-40f6-9579-727d5445c262" updatedVersion="8" minRefreshableVersion="3" useAutoFormatting="1" subtotalHiddenItems="1" itemPrintTitles="1" createdVersion="8" indent="0" outline="1" outlineData="1" multipleFieldFilters="0" chartFormat="38">
  <location ref="AA4:AB11" firstHeaderRow="1" firstDataRow="1" firstDataCol="1"/>
  <pivotFields count="3">
    <pivotField allDrilled="1" subtotalTop="0" showAll="0" measureFilter="1" defaultSubtotal="0" defaultAttributeDrillState="1">
      <items count="10">
        <item x="0"/>
        <item x="1"/>
        <item x="2"/>
        <item x="3"/>
        <item x="4"/>
        <item x="5"/>
        <item x="6"/>
        <item x="7"/>
        <item x="8"/>
        <item x="9"/>
      </items>
    </pivotField>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7">
    <i>
      <x v="3"/>
    </i>
    <i>
      <x v="2"/>
    </i>
    <i>
      <x v="5"/>
    </i>
    <i>
      <x v="4"/>
    </i>
    <i>
      <x/>
    </i>
    <i>
      <x v="1"/>
    </i>
    <i t="grand">
      <x/>
    </i>
  </rowItems>
  <colItems count="1">
    <i/>
  </colItems>
  <dataFields count="1">
    <dataField name="Sum of Quantity" fld="2" baseField="0" baseItem="0"/>
  </dataFields>
  <formats count="1">
    <format dxfId="45">
      <pivotArea outline="0" collapsedLevelsAreSubtotals="1" fieldPosition="0"/>
    </format>
  </formats>
  <chartFormats count="1">
    <chartFormat chart="34"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9">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ventory Dataset (version 1).xlsb!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E137AD-5F62-4937-8950-6BCB5B311E42}" name="PivotTable10" cacheId="4" applyNumberFormats="0" applyBorderFormats="0" applyFontFormats="0" applyPatternFormats="0" applyAlignmentFormats="0" applyWidthHeightFormats="1" dataCaption="Values" tag="b50264dd-5c9a-4872-ae26-612ec61a426b" updatedVersion="8" minRefreshableVersion="3" useAutoFormatting="1" subtotalHiddenItems="1" itemPrintTitles="1" createdVersion="8" indent="0" outline="1" outlineData="1" multipleFieldFilters="0" chartFormat="39">
  <location ref="W4:X12" firstHeaderRow="1" firstDataRow="1" firstDataCol="1"/>
  <pivotFields count="3">
    <pivotField allDrilled="1" subtotalTop="0" showAll="0" measureFilter="1" defaultSubtotal="0" defaultAttributeDrillState="1">
      <items count="10">
        <item x="0"/>
        <item x="1"/>
        <item x="2"/>
        <item x="3"/>
        <item x="4"/>
        <item x="5"/>
        <item x="6"/>
        <item x="7"/>
        <item x="8"/>
        <item x="9"/>
      </items>
    </pivotField>
    <pivotField axis="axisRow" allDrilled="1" subtotalTop="0" showAll="0" sortType="ascending" defaultSubtotal="0" defaultAttributeDrillState="1">
      <items count="7">
        <item x="0"/>
        <item x="1"/>
        <item x="2"/>
        <item x="3"/>
        <item x="4"/>
        <item x="5"/>
        <item x="6"/>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name="Sum of Purchase Value (₹)" fld="2" baseField="0" baseItem="0" numFmtId="166"/>
  </dataFields>
  <formats count="1">
    <format dxfId="46">
      <pivotArea outline="0" collapsedLevelsAreSubtotals="1" fieldPosition="0"/>
    </format>
  </formats>
  <chartFormats count="3">
    <chartFormat chart="35" format="2" series="1">
      <pivotArea type="data" outline="0" fieldPosition="0">
        <references count="1">
          <reference field="4294967294" count="1" selected="0">
            <x v="0"/>
          </reference>
        </references>
      </pivotArea>
    </chartFormat>
    <chartFormat chart="35" format="3">
      <pivotArea type="data" outline="0" fieldPosition="0">
        <references count="2">
          <reference field="4294967294" count="1" selected="0">
            <x v="0"/>
          </reference>
          <reference field="1" count="1" selected="0">
            <x v="1"/>
          </reference>
        </references>
      </pivotArea>
    </chartFormat>
    <chartFormat chart="35" format="4">
      <pivotArea type="data" outline="0" fieldPosition="0">
        <references count="2">
          <reference field="4294967294" count="1" selected="0">
            <x v="0"/>
          </reference>
          <reference field="1" count="1" selected="0">
            <x v="4"/>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9">
      <autoFilter ref="A1">
        <filterColumn colId="0">
          <top10 val="10" filterVal="1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ventory Dataset (version 1).xlsb!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FE3A2A-6AFC-4A7B-BD69-AD6B5F9060E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F4:H17" firstHeaderRow="0" firstDataRow="1" firstDataCol="1"/>
  <pivotFields count="17">
    <pivotField numFmtId="14" showAll="0"/>
    <pivotField showAll="0"/>
    <pivotField showAll="0">
      <items count="6">
        <item x="0"/>
        <item x="4"/>
        <item x="1"/>
        <item x="2"/>
        <item x="3"/>
        <item t="default"/>
      </items>
    </pivotField>
    <pivotField showAll="0">
      <items count="7">
        <item x="4"/>
        <item x="5"/>
        <item x="0"/>
        <item x="2"/>
        <item x="3"/>
        <item x="1"/>
        <item t="default"/>
      </items>
    </pivotField>
    <pivotField showAll="0"/>
    <pivotField showAll="0"/>
    <pivotField showAll="0"/>
    <pivotField showAll="0">
      <items count="4">
        <item x="0"/>
        <item x="1"/>
        <item x="2"/>
        <item t="default"/>
      </items>
    </pivotField>
    <pivotField showAll="0"/>
    <pivotField dataField="1" showAll="0"/>
    <pivotField showAll="0"/>
    <pivotField dataField="1" showAll="0"/>
    <pivotField axis="axisRow" showAll="0">
      <items count="13">
        <item x="0"/>
        <item x="1"/>
        <item x="2"/>
        <item x="3"/>
        <item x="4"/>
        <item x="5"/>
        <item x="6"/>
        <item x="7"/>
        <item x="8"/>
        <item x="9"/>
        <item x="10"/>
        <item x="11"/>
        <item t="default"/>
      </items>
    </pivotField>
    <pivotField showAll="0"/>
    <pivotField showAll="0"/>
    <pivotField showAll="0"/>
    <pivotField showAll="0"/>
  </pivotFields>
  <rowFields count="1">
    <field x="12"/>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Value (₹)" fld="11" baseField="0" baseItem="0"/>
    <dataField name="Sum of Purchase Value (₹)" fld="9" baseField="0" baseItem="0"/>
  </dataFields>
  <formats count="1">
    <format dxfId="47">
      <pivotArea outline="0" collapsedLevelsAreSubtotals="1" fieldPosition="0"/>
    </format>
  </format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D6378B-8701-4172-85FE-DAFB3ACD03C3}" name="PivotTable9" cacheId="3" applyNumberFormats="0" applyBorderFormats="0" applyFontFormats="0" applyPatternFormats="0" applyAlignmentFormats="0" applyWidthHeightFormats="1" dataCaption="Values" tag="c911db49-ff7d-4c5f-9398-6e57285ed484" updatedVersion="8" minRefreshableVersion="3" useAutoFormatting="1" subtotalHiddenItems="1" itemPrintTitles="1" createdVersion="8" indent="0" outline="1" outlineData="1" multipleFieldFilters="0" chartFormat="31">
  <location ref="T4:U8" firstHeaderRow="1" firstDataRow="1" firstDataCol="1"/>
  <pivotFields count="3">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Items count="1">
    <i/>
  </colItems>
  <dataFields count="1">
    <dataField name="Count of Product" fld="2" subtotal="count" baseField="0" baseItem="0"/>
  </dataFields>
  <formats count="1">
    <format dxfId="48">
      <pivotArea outline="0" collapsedLevelsAreSubtotals="1" fieldPosition="0"/>
    </format>
  </formats>
  <chartFormats count="4">
    <chartFormat chart="19" format="5" series="1">
      <pivotArea type="data" outline="0" fieldPosition="0">
        <references count="1">
          <reference field="4294967294" count="1" selected="0">
            <x v="0"/>
          </reference>
        </references>
      </pivotArea>
    </chartFormat>
    <chartFormat chart="19" format="6">
      <pivotArea type="data" outline="0" fieldPosition="0">
        <references count="2">
          <reference field="4294967294" count="1" selected="0">
            <x v="0"/>
          </reference>
          <reference field="1" count="1" selected="0">
            <x v="0"/>
          </reference>
        </references>
      </pivotArea>
    </chartFormat>
    <chartFormat chart="19" format="7">
      <pivotArea type="data" outline="0" fieldPosition="0">
        <references count="2">
          <reference field="4294967294" count="1" selected="0">
            <x v="0"/>
          </reference>
          <reference field="1" count="1" selected="0">
            <x v="1"/>
          </reference>
        </references>
      </pivotArea>
    </chartFormat>
    <chartFormat chart="19" format="8">
      <pivotArea type="data" outline="0" fieldPosition="0">
        <references count="2">
          <reference field="4294967294" count="1" selected="0">
            <x v="0"/>
          </reference>
          <reference field="1" count="1" selected="0">
            <x v="2"/>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9">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ventory Dataset (version 1).xlsb!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674825B-924B-4D38-8279-35325C719F4E}" name="PivotTable2"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0" firstHeaderRow="1" firstDataRow="1" firstDataCol="1"/>
  <pivotFields count="17">
    <pivotField numFmtId="14" showAll="0"/>
    <pivotField dataField="1" showAll="0"/>
    <pivotField showAll="0">
      <items count="6">
        <item x="0"/>
        <item x="4"/>
        <item x="1"/>
        <item x="2"/>
        <item x="3"/>
        <item t="default"/>
      </items>
    </pivotField>
    <pivotField showAll="0">
      <items count="7">
        <item x="4"/>
        <item x="5"/>
        <item x="0"/>
        <item x="2"/>
        <item x="3"/>
        <item x="1"/>
        <item t="default"/>
      </items>
    </pivotField>
    <pivotField showAll="0"/>
    <pivotField dataField="1" showAll="0"/>
    <pivotField showAll="0"/>
    <pivotField axis="axisRow" showAll="0">
      <items count="4">
        <item x="0"/>
        <item x="1"/>
        <item x="2"/>
        <item t="default"/>
      </items>
    </pivotField>
    <pivotField dataField="1" showAll="0"/>
    <pivotField dataField="1" showAll="0"/>
    <pivotField showAll="0"/>
    <pivotField dataField="1" showAll="0"/>
    <pivotField showAll="0">
      <items count="13">
        <item x="0"/>
        <item x="1"/>
        <item x="2"/>
        <item x="3"/>
        <item x="4"/>
        <item x="5"/>
        <item x="6"/>
        <item x="7"/>
        <item x="8"/>
        <item x="9"/>
        <item x="10"/>
        <item x="11"/>
        <item t="default"/>
      </items>
    </pivotField>
    <pivotField dataField="1" showAll="0"/>
    <pivotField showAll="0"/>
    <pivotField showAll="0"/>
    <pivotField showAll="0"/>
  </pivotFields>
  <rowFields count="2">
    <field x="7"/>
    <field x="-2"/>
  </rowFields>
  <rowItems count="27">
    <i>
      <x/>
    </i>
    <i r="1">
      <x/>
    </i>
    <i r="1" i="1">
      <x v="1"/>
    </i>
    <i r="1" i="2">
      <x v="2"/>
    </i>
    <i r="1" i="3">
      <x v="3"/>
    </i>
    <i r="1" i="4">
      <x v="4"/>
    </i>
    <i r="1" i="5">
      <x v="5"/>
    </i>
    <i>
      <x v="1"/>
    </i>
    <i r="1">
      <x/>
    </i>
    <i r="1" i="1">
      <x v="1"/>
    </i>
    <i r="1" i="2">
      <x v="2"/>
    </i>
    <i r="1" i="3">
      <x v="3"/>
    </i>
    <i r="1" i="4">
      <x v="4"/>
    </i>
    <i r="1" i="5">
      <x v="5"/>
    </i>
    <i>
      <x v="2"/>
    </i>
    <i r="1">
      <x/>
    </i>
    <i r="1" i="1">
      <x v="1"/>
    </i>
    <i r="1" i="2">
      <x v="2"/>
    </i>
    <i r="1" i="3">
      <x v="3"/>
    </i>
    <i r="1" i="4">
      <x v="4"/>
    </i>
    <i r="1" i="5">
      <x v="5"/>
    </i>
    <i t="grand">
      <x/>
    </i>
    <i t="grand" i="1">
      <x/>
    </i>
    <i t="grand" i="2">
      <x/>
    </i>
    <i t="grand" i="3">
      <x/>
    </i>
    <i t="grand" i="4">
      <x/>
    </i>
    <i t="grand" i="5">
      <x/>
    </i>
  </rowItems>
  <colItems count="1">
    <i/>
  </colItems>
  <dataFields count="6">
    <dataField name="Sum of Purchase Value (₹)" fld="9" baseField="0" baseItem="0" numFmtId="164"/>
    <dataField name="Sum of Quantity" fld="5" baseField="0" baseItem="0"/>
    <dataField name="Sum of Sales Value (₹)" fld="11" baseField="0" baseItem="0" numFmtId="164"/>
    <dataField name="Sum of Inventory Value" fld="13" baseField="0" baseItem="0" numFmtId="164"/>
    <dataField name="Count of Product" fld="1" subtotal="count" baseField="7" baseItem="0"/>
    <dataField name="Average of Unit Price (₹)" fld="8" subtotal="average" baseField="7" baseItem="0"/>
  </dataFields>
  <formats count="4">
    <format dxfId="52">
      <pivotArea outline="0" collapsedLevelsAreSubtotals="1" fieldPosition="0">
        <references count="1">
          <reference field="4294967294" count="1" selected="0">
            <x v="4"/>
          </reference>
        </references>
      </pivotArea>
    </format>
    <format dxfId="51">
      <pivotArea outline="0" collapsedLevelsAreSubtotals="1" fieldPosition="0">
        <references count="1">
          <reference field="4294967294" count="1" selected="0">
            <x v="3"/>
          </reference>
        </references>
      </pivotArea>
    </format>
    <format dxfId="50">
      <pivotArea outline="0" collapsedLevelsAreSubtotals="1" fieldPosition="0">
        <references count="1">
          <reference field="4294967294" count="1" selected="0">
            <x v="2"/>
          </reference>
        </references>
      </pivotArea>
    </format>
    <format dxfId="49">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51726EE-33C7-411E-A082-AB6A0A5169A1}" name="PivotTable7" cacheId="2" applyNumberFormats="0" applyBorderFormats="0" applyFontFormats="0" applyPatternFormats="0" applyAlignmentFormats="0" applyWidthHeightFormats="1" dataCaption="Values" tag="5c9a37d9-9e18-4bba-a0c3-9c40452b6ff4" updatedVersion="8" minRefreshableVersion="3" useAutoFormatting="1" subtotalHiddenItems="1" itemPrintTitles="1" createdVersion="8" indent="0" outline="1" outlineData="1" multipleFieldFilters="0" chartFormat="15">
  <location ref="P4:R10" firstHeaderRow="0" firstDataRow="1" firstDataCol="1"/>
  <pivotFields count="4">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1"/>
  </rowFields>
  <rowItems count="6">
    <i>
      <x/>
    </i>
    <i>
      <x v="1"/>
    </i>
    <i>
      <x v="2"/>
    </i>
    <i>
      <x v="3"/>
    </i>
    <i>
      <x v="4"/>
    </i>
    <i t="grand">
      <x/>
    </i>
  </rowItems>
  <colFields count="1">
    <field x="-2"/>
  </colFields>
  <colItems count="2">
    <i>
      <x/>
    </i>
    <i i="1">
      <x v="1"/>
    </i>
  </colItems>
  <dataFields count="2">
    <dataField name="Sum of Sales Qty" fld="3" baseField="0" baseItem="0"/>
    <dataField name="Sum of Quantity" fld="2" baseField="0" baseItem="0"/>
  </dataFields>
  <formats count="1">
    <format dxfId="53">
      <pivotArea outline="0" collapsedLevelsAreSubtotals="1" fieldPosition="0"/>
    </format>
  </formats>
  <chartFormats count="2">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9">
      <autoFilter ref="A1">
        <filterColumn colId="0">
          <top10 val="10" filterVal="10"/>
        </filterColumn>
      </autoFilter>
    </filter>
  </filters>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ventory Dataset (version 1).xlsb!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F0EA3A5-2E0C-42F5-A7E6-42B73FB0E48B}" sourceName="Month">
  <pivotTables>
    <pivotTable tabId="3" name="PivotTable1"/>
    <pivotTable tabId="3" name="PivotTable2"/>
    <pivotTable tabId="3" name="PivotTable3"/>
  </pivotTables>
  <data>
    <tabular pivotCacheId="1928911155">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ck_Status" xr10:uid="{CCF0BDD8-F4E5-40B0-AE73-B2A2A3BBAA93}" sourceName="Stock Status">
  <pivotTables>
    <pivotTable tabId="3" name="PivotTable1"/>
    <pivotTable tabId="3" name="PivotTable2"/>
    <pivotTable tabId="3" name="PivotTable3"/>
  </pivotTables>
  <data>
    <tabular pivotCacheId="1928911155">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A5B6EDA-7EE1-423D-A4E5-F66EB5C3756A}" sourceName="Category">
  <pivotTables>
    <pivotTable tabId="3" name="PivotTable1"/>
    <pivotTable tabId="3" name="PivotTable2"/>
    <pivotTable tabId="3" name="PivotTable3"/>
  </pivotTables>
  <data>
    <tabular pivotCacheId="1928911155">
      <items count="5">
        <i x="0" s="1"/>
        <i x="4" s="1"/>
        <i x="1"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ehouse" xr10:uid="{FD561B02-06F2-41E0-9E59-397B3A2CF4CA}" sourceName="Warehouse">
  <pivotTables>
    <pivotTable tabId="3" name="PivotTable1"/>
    <pivotTable tabId="3" name="PivotTable2"/>
    <pivotTable tabId="3" name="PivotTable3"/>
  </pivotTables>
  <data>
    <tabular pivotCacheId="1928911155">
      <items count="6">
        <i x="4" s="1"/>
        <i x="5" s="1"/>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BD2DEF8E-F203-44B9-9691-3D0FFE7407AB}" cache="Slicer_Month" caption="Month" style="SlicerStyleDark4" rowHeight="241300"/>
  <slicer name="Stock Status" xr10:uid="{921E109C-D753-41C3-A5BE-746AD1AE9376}" cache="Slicer_Stock_Status" caption="Stock Status" style="SlicerStyleDark4" rowHeight="241300"/>
  <slicer name="Category" xr10:uid="{74C405E6-D3CD-4EEB-9757-47909262735D}" cache="Slicer_Category" caption="Category" startItem="3" style="SlicerStyleDark4" rowHeight="241300"/>
  <slicer name="Warehouse" xr10:uid="{D278C59B-3B87-4E3C-A0D4-D4F0D537E838}" cache="Slicer_Warehouse" caption="Warehouse" startItem="3" columnCount="3" style="SlicerStyleDark4" rowHeight="2448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31A1739-5896-43AC-862A-88A59898015A}" name="Table2" displayName="Table2" ref="A3:Q20" totalsRowShown="0">
  <autoFilter ref="A3:Q20" xr:uid="{B31A1739-5896-43AC-862A-88A59898015A}"/>
  <tableColumns count="17">
    <tableColumn id="1" xr3:uid="{9AE7F0D3-5635-4358-AA98-5B2EC95C65D3}" name="Date" dataDxfId="55"/>
    <tableColumn id="2" xr3:uid="{43E51A10-6AB6-4F5E-8E04-B8C267A17BA2}" name="Product"/>
    <tableColumn id="3" xr3:uid="{EC073BB7-9C6B-48DB-AFED-4BE6C1CC0854}" name="Category"/>
    <tableColumn id="4" xr3:uid="{107DA4D1-C4DC-4618-9DB7-047083F7C9D1}" name="Warehouse"/>
    <tableColumn id="5" xr3:uid="{DCE3AF02-83E6-4FE9-A61E-0F4D0F6F6462}" name="Supplier"/>
    <tableColumn id="6" xr3:uid="{DEE9CA89-3848-4297-8B27-CBC4A8BEBD2A}" name="Quantity"/>
    <tableColumn id="7" xr3:uid="{3338B9D8-9F0F-40C1-8E28-84F84D88A197}" name="Reorder Level"/>
    <tableColumn id="8" xr3:uid="{8D6B16D2-8A53-471F-81D7-BD889E21DFD8}" name="Stock Status"/>
    <tableColumn id="9" xr3:uid="{D12E069B-1987-4744-A2B1-7F4C23BAD404}" name="Unit Price (₹)"/>
    <tableColumn id="10" xr3:uid="{9D0DEB67-AE1C-4685-9148-735460C53516}" name="Purchase Value (₹)"/>
    <tableColumn id="11" xr3:uid="{76428067-2AE1-47F8-81D6-0E97FBE858BF}" name="Sales Qty"/>
    <tableColumn id="12" xr3:uid="{43E54D77-3A79-4FD5-9A21-41C90D5BF3C2}" name="Sales Value (₹)"/>
    <tableColumn id="13" xr3:uid="{B566CC9A-3885-40E9-BA1A-90B7C23E09FB}" name="Month"/>
    <tableColumn id="14" xr3:uid="{327645E1-221A-43D5-A526-8D15B25C9E2E}" name="Inventory Value"/>
    <tableColumn id="15" xr3:uid="{1E833B8D-81EF-4A5C-93BC-5310C9DC7264}" name="Reorder QTY"/>
    <tableColumn id="16" xr3:uid="{89A9DC3B-7463-4B8C-ABA3-15CF7D8529E4}" name="Above Reorder QTY"/>
    <tableColumn id="17" xr3:uid="{08AB29B0-EA50-4C62-8A23-CF4FA33A3C6C}" name="Above Reorder Inventory Value" dataDxfId="54">
      <calculatedColumnFormula>Table2[[#This Row],[Above Reorder QTY]]*Table2[[#This Row],[Unit Price (₹)]]</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A27C89B-D56E-4276-A616-BDA5A5821D7A}" name="Table1" displayName="Table1" ref="A3:R503" totalsRowShown="0" headerRowDxfId="42">
  <autoFilter ref="A3:R503" xr:uid="{90026C47-3AA6-4DE9-B0F9-52D3E57DCA0E}"/>
  <tableColumns count="18">
    <tableColumn id="1" xr3:uid="{48E542BD-1E31-43BA-B603-BEE2E372022F}" name="Date" dataDxfId="41"/>
    <tableColumn id="2" xr3:uid="{F2F51212-EAB4-407D-B71E-4C79580E93A2}" name="Product"/>
    <tableColumn id="3" xr3:uid="{4DEDAD6C-9FAA-4FBE-8604-C9873996326D}" name="Category"/>
    <tableColumn id="4" xr3:uid="{EDA9FBB7-6899-44FA-B2B3-411AF312D4CE}" name="Warehouse"/>
    <tableColumn id="5" xr3:uid="{54731DB3-05AB-4F7D-A6CB-4FDBB03D2165}" name="Supplier"/>
    <tableColumn id="6" xr3:uid="{B4BB18EA-084A-4A83-9363-338027EA8F17}" name="Quantity"/>
    <tableColumn id="7" xr3:uid="{F96090DE-21B0-43D9-98ED-202E442E0C43}" name="Reorder Level"/>
    <tableColumn id="8" xr3:uid="{DEDA0574-373E-4335-9BFD-068D5B955E11}" name="Stock Status"/>
    <tableColumn id="9" xr3:uid="{47A316C8-579F-4D08-87CA-FF9AED0F9567}" name="Unit Price (₹)"/>
    <tableColumn id="10" xr3:uid="{8A74761B-65C7-4073-925D-B628BBAC2E50}" name="Purchase Value (₹)"/>
    <tableColumn id="11" xr3:uid="{86A45DCA-393D-4317-897E-DC50D0375C4B}" name="Sales Qty"/>
    <tableColumn id="12" xr3:uid="{12B167C1-1A91-4C45-B45F-BEDFF309F41B}" name="Sales Value (₹)"/>
    <tableColumn id="13" xr3:uid="{14165F5C-69CF-4A7B-BAD0-C568A3ED7261}" name="Month"/>
    <tableColumn id="14" xr3:uid="{B4D35AF5-151C-4BEA-8433-7F40F11B89B6}" name="Inventory Value" dataDxfId="40">
      <calculatedColumnFormula>Table1[[#This Row],[Quantity]]*Table1[[#This Row],[Unit Price (₹)]]</calculatedColumnFormula>
    </tableColumn>
    <tableColumn id="15" xr3:uid="{7C6D5F17-2BBD-4F59-84BB-2A661621B69A}" name="Reorder QTY" dataDxfId="39">
      <calculatedColumnFormula>MAX(0,Table1[[#This Row],[Reorder Level]]-Table1[[#This Row],[Quantity]])</calculatedColumnFormula>
    </tableColumn>
    <tableColumn id="16" xr3:uid="{3359D9F8-AA3B-4300-8071-494D6ACE6679}" name="Above Reorder QTY" dataDxfId="38">
      <calculatedColumnFormula>MAX(0,Table1[[#This Row],[Quantity]]-Table1[[#This Row],[Reorder Level]])</calculatedColumnFormula>
    </tableColumn>
    <tableColumn id="17" xr3:uid="{6B1775B0-54CB-47A2-AF1C-12251F67024F}" name="Above Reorder Inventory Value" dataDxfId="37">
      <calculatedColumnFormula>Table1[[#This Row],[Above Reorder QTY]]*Table1[[#This Row],[Unit Price (₹)]]</calculatedColumnFormula>
    </tableColumn>
    <tableColumn id="19" xr3:uid="{36BD322C-2E4B-4AD1-AEE6-E20352E14F09}" name="Inventory Turnover" dataDxfId="36"/>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BD063-AAD8-438F-9137-FF93687FBA70}">
  <dimension ref="A1"/>
  <sheetViews>
    <sheetView showGridLines="0" showRowColHeaders="0" tabSelected="1" zoomScale="80" zoomScaleNormal="80" workbookViewId="0"/>
  </sheetViews>
  <sheetFormatPr defaultRowHeight="15" x14ac:dyDescent="0.25"/>
  <sheetData/>
  <sheetProtection sheet="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A74EE-57B7-4D9C-8D84-DFD5BB7B0104}">
  <dimension ref="A1:Q20"/>
  <sheetViews>
    <sheetView topLeftCell="G1" workbookViewId="0">
      <selection activeCell="Q9" sqref="Q9"/>
    </sheetView>
  </sheetViews>
  <sheetFormatPr defaultRowHeight="15" x14ac:dyDescent="0.25"/>
  <cols>
    <col min="1" max="1" width="10.42578125" bestFit="1" customWidth="1"/>
    <col min="2" max="2" width="18.85546875" bestFit="1" customWidth="1"/>
    <col min="3" max="3" width="16.5703125" bestFit="1" customWidth="1"/>
    <col min="4" max="4" width="13.5703125" bestFit="1" customWidth="1"/>
    <col min="5" max="5" width="17" bestFit="1" customWidth="1"/>
    <col min="6" max="6" width="11" bestFit="1" customWidth="1"/>
    <col min="7" max="7" width="15.7109375" bestFit="1" customWidth="1"/>
    <col min="8" max="8" width="13.85546875" bestFit="1" customWidth="1"/>
    <col min="9" max="9" width="15" bestFit="1" customWidth="1"/>
    <col min="10" max="10" width="20.140625" bestFit="1" customWidth="1"/>
    <col min="11" max="11" width="11.42578125" bestFit="1" customWidth="1"/>
    <col min="12" max="12" width="16.5703125" bestFit="1" customWidth="1"/>
    <col min="13" max="13" width="9.28515625" bestFit="1" customWidth="1"/>
    <col min="14" max="14" width="17.5703125" bestFit="1" customWidth="1"/>
    <col min="15" max="15" width="14.42578125" bestFit="1" customWidth="1"/>
    <col min="16" max="16" width="20.85546875" bestFit="1" customWidth="1"/>
    <col min="17" max="17" width="31.7109375" bestFit="1" customWidth="1"/>
  </cols>
  <sheetData>
    <row r="1" spans="1:17" x14ac:dyDescent="0.25">
      <c r="A1" s="1" t="s">
        <v>97</v>
      </c>
    </row>
    <row r="3" spans="1:17" x14ac:dyDescent="0.25">
      <c r="A3" t="s">
        <v>0</v>
      </c>
      <c r="B3" t="s">
        <v>1</v>
      </c>
      <c r="C3" t="s">
        <v>2</v>
      </c>
      <c r="D3" t="s">
        <v>3</v>
      </c>
      <c r="E3" t="s">
        <v>4</v>
      </c>
      <c r="F3" t="s">
        <v>5</v>
      </c>
      <c r="G3" t="s">
        <v>6</v>
      </c>
      <c r="H3" t="s">
        <v>7</v>
      </c>
      <c r="I3" t="s">
        <v>8</v>
      </c>
      <c r="J3" t="s">
        <v>9</v>
      </c>
      <c r="K3" t="s">
        <v>10</v>
      </c>
      <c r="L3" t="s">
        <v>11</v>
      </c>
      <c r="M3" t="s">
        <v>12</v>
      </c>
      <c r="N3" t="s">
        <v>13</v>
      </c>
      <c r="O3" t="s">
        <v>14</v>
      </c>
      <c r="P3" t="s">
        <v>15</v>
      </c>
      <c r="Q3" t="s">
        <v>16</v>
      </c>
    </row>
    <row r="4" spans="1:17" x14ac:dyDescent="0.25">
      <c r="A4" s="3">
        <v>46156</v>
      </c>
      <c r="B4" t="s">
        <v>36</v>
      </c>
      <c r="C4" t="s">
        <v>24</v>
      </c>
      <c r="D4" t="s">
        <v>32</v>
      </c>
      <c r="E4" t="s">
        <v>45</v>
      </c>
      <c r="F4">
        <v>201</v>
      </c>
      <c r="G4">
        <v>39</v>
      </c>
      <c r="H4" t="s">
        <v>21</v>
      </c>
      <c r="I4">
        <v>3500</v>
      </c>
      <c r="J4">
        <v>201911.35</v>
      </c>
      <c r="K4">
        <v>3</v>
      </c>
      <c r="L4">
        <v>11471.98</v>
      </c>
      <c r="M4" t="s">
        <v>62</v>
      </c>
      <c r="N4">
        <v>703500</v>
      </c>
      <c r="O4">
        <v>0</v>
      </c>
      <c r="P4">
        <v>162</v>
      </c>
      <c r="Q4">
        <f>Table2[[#This Row],[Above Reorder QTY]]*Table2[[#This Row],[Unit Price (₹)]]</f>
        <v>567000</v>
      </c>
    </row>
    <row r="5" spans="1:17" x14ac:dyDescent="0.25">
      <c r="A5" s="3">
        <v>46139</v>
      </c>
      <c r="B5" t="s">
        <v>36</v>
      </c>
      <c r="C5" t="s">
        <v>24</v>
      </c>
      <c r="D5" t="s">
        <v>25</v>
      </c>
      <c r="E5" t="s">
        <v>45</v>
      </c>
      <c r="F5">
        <v>24</v>
      </c>
      <c r="G5">
        <v>27</v>
      </c>
      <c r="H5" t="s">
        <v>47</v>
      </c>
      <c r="I5">
        <v>3500</v>
      </c>
      <c r="J5">
        <v>16198.37</v>
      </c>
      <c r="K5">
        <v>4</v>
      </c>
      <c r="L5">
        <v>14239.85</v>
      </c>
      <c r="M5" t="s">
        <v>60</v>
      </c>
      <c r="N5">
        <v>84000</v>
      </c>
      <c r="O5">
        <v>3</v>
      </c>
      <c r="P5">
        <v>0</v>
      </c>
      <c r="Q5">
        <f>Table2[[#This Row],[Above Reorder QTY]]*Table2[[#This Row],[Unit Price (₹)]]</f>
        <v>0</v>
      </c>
    </row>
    <row r="6" spans="1:17" x14ac:dyDescent="0.25">
      <c r="A6" s="3">
        <v>46123</v>
      </c>
      <c r="B6" t="s">
        <v>36</v>
      </c>
      <c r="C6" t="s">
        <v>24</v>
      </c>
      <c r="D6" t="s">
        <v>19</v>
      </c>
      <c r="E6" t="s">
        <v>37</v>
      </c>
      <c r="F6">
        <v>142</v>
      </c>
      <c r="G6">
        <v>20</v>
      </c>
      <c r="H6" t="s">
        <v>21</v>
      </c>
      <c r="I6">
        <v>3500</v>
      </c>
      <c r="J6">
        <v>48898.35</v>
      </c>
      <c r="K6">
        <v>2</v>
      </c>
      <c r="L6">
        <v>6886.25</v>
      </c>
      <c r="M6" t="s">
        <v>60</v>
      </c>
      <c r="N6">
        <v>497000</v>
      </c>
      <c r="O6">
        <v>0</v>
      </c>
      <c r="P6">
        <v>122</v>
      </c>
      <c r="Q6">
        <f>Table2[[#This Row],[Above Reorder QTY]]*Table2[[#This Row],[Unit Price (₹)]]</f>
        <v>427000</v>
      </c>
    </row>
    <row r="7" spans="1:17" x14ac:dyDescent="0.25">
      <c r="A7" s="3">
        <v>46102</v>
      </c>
      <c r="B7" t="s">
        <v>36</v>
      </c>
      <c r="C7" t="s">
        <v>24</v>
      </c>
      <c r="D7" t="s">
        <v>25</v>
      </c>
      <c r="E7" t="s">
        <v>29</v>
      </c>
      <c r="F7">
        <v>122</v>
      </c>
      <c r="G7">
        <v>39</v>
      </c>
      <c r="H7" t="s">
        <v>21</v>
      </c>
      <c r="I7">
        <v>3500</v>
      </c>
      <c r="J7">
        <v>56626.21</v>
      </c>
      <c r="K7">
        <v>20</v>
      </c>
      <c r="L7">
        <v>69893.740000000005</v>
      </c>
      <c r="M7" t="s">
        <v>59</v>
      </c>
      <c r="N7">
        <v>427000</v>
      </c>
      <c r="O7">
        <v>0</v>
      </c>
      <c r="P7">
        <v>83</v>
      </c>
      <c r="Q7">
        <f>Table2[[#This Row],[Above Reorder QTY]]*Table2[[#This Row],[Unit Price (₹)]]</f>
        <v>290500</v>
      </c>
    </row>
    <row r="8" spans="1:17" x14ac:dyDescent="0.25">
      <c r="A8" s="3">
        <v>46095</v>
      </c>
      <c r="B8" t="s">
        <v>36</v>
      </c>
      <c r="C8" t="s">
        <v>24</v>
      </c>
      <c r="D8" t="s">
        <v>42</v>
      </c>
      <c r="E8" t="s">
        <v>20</v>
      </c>
      <c r="F8">
        <v>126</v>
      </c>
      <c r="G8">
        <v>10</v>
      </c>
      <c r="H8" t="s">
        <v>21</v>
      </c>
      <c r="I8">
        <v>3500</v>
      </c>
      <c r="J8">
        <v>22803.41</v>
      </c>
      <c r="K8">
        <v>15</v>
      </c>
      <c r="L8">
        <v>58756.42</v>
      </c>
      <c r="M8" t="s">
        <v>59</v>
      </c>
      <c r="N8">
        <v>441000</v>
      </c>
      <c r="O8">
        <v>0</v>
      </c>
      <c r="P8">
        <v>116</v>
      </c>
      <c r="Q8">
        <f>Table2[[#This Row],[Above Reorder QTY]]*Table2[[#This Row],[Unit Price (₹)]]</f>
        <v>406000</v>
      </c>
    </row>
    <row r="9" spans="1:17" x14ac:dyDescent="0.25">
      <c r="A9" s="3">
        <v>46072</v>
      </c>
      <c r="B9" t="s">
        <v>36</v>
      </c>
      <c r="C9" t="s">
        <v>24</v>
      </c>
      <c r="D9" t="s">
        <v>32</v>
      </c>
      <c r="E9" t="s">
        <v>20</v>
      </c>
      <c r="F9">
        <v>54</v>
      </c>
      <c r="G9">
        <v>34</v>
      </c>
      <c r="H9" t="s">
        <v>21</v>
      </c>
      <c r="I9">
        <v>3500</v>
      </c>
      <c r="J9">
        <v>47097.39</v>
      </c>
      <c r="K9">
        <v>1</v>
      </c>
      <c r="L9">
        <v>3714.14</v>
      </c>
      <c r="M9" t="s">
        <v>52</v>
      </c>
      <c r="N9">
        <v>189000</v>
      </c>
      <c r="O9">
        <v>0</v>
      </c>
      <c r="P9">
        <v>20</v>
      </c>
      <c r="Q9">
        <f>Table2[[#This Row],[Above Reorder QTY]]*Table2[[#This Row],[Unit Price (₹)]]</f>
        <v>70000</v>
      </c>
    </row>
    <row r="10" spans="1:17" x14ac:dyDescent="0.25">
      <c r="A10" s="3">
        <v>45664</v>
      </c>
      <c r="B10" t="s">
        <v>36</v>
      </c>
      <c r="C10" t="s">
        <v>24</v>
      </c>
      <c r="D10" t="s">
        <v>25</v>
      </c>
      <c r="E10" t="s">
        <v>37</v>
      </c>
      <c r="F10">
        <v>62</v>
      </c>
      <c r="G10">
        <v>33</v>
      </c>
      <c r="H10" t="s">
        <v>21</v>
      </c>
      <c r="I10">
        <v>3500</v>
      </c>
      <c r="J10">
        <v>46007.54</v>
      </c>
      <c r="K10">
        <v>12</v>
      </c>
      <c r="L10">
        <v>45076.54</v>
      </c>
      <c r="M10" t="s">
        <v>22</v>
      </c>
      <c r="N10">
        <v>217000</v>
      </c>
      <c r="O10">
        <v>0</v>
      </c>
      <c r="P10">
        <v>29</v>
      </c>
      <c r="Q10">
        <f>Table2[[#This Row],[Above Reorder QTY]]*Table2[[#This Row],[Unit Price (₹)]]</f>
        <v>101500</v>
      </c>
    </row>
    <row r="11" spans="1:17" x14ac:dyDescent="0.25">
      <c r="A11" s="3">
        <v>45995</v>
      </c>
      <c r="B11" t="s">
        <v>36</v>
      </c>
      <c r="C11" t="s">
        <v>24</v>
      </c>
      <c r="D11" t="s">
        <v>19</v>
      </c>
      <c r="E11" t="s">
        <v>45</v>
      </c>
      <c r="F11">
        <v>72</v>
      </c>
      <c r="G11">
        <v>40</v>
      </c>
      <c r="H11" t="s">
        <v>21</v>
      </c>
      <c r="I11">
        <v>3500</v>
      </c>
      <c r="J11">
        <v>14691.86</v>
      </c>
      <c r="K11">
        <v>9</v>
      </c>
      <c r="L11">
        <v>30770.93</v>
      </c>
      <c r="M11" t="s">
        <v>69</v>
      </c>
      <c r="N11">
        <v>252000</v>
      </c>
      <c r="O11">
        <v>0</v>
      </c>
      <c r="P11">
        <v>32</v>
      </c>
      <c r="Q11">
        <f>Table2[[#This Row],[Above Reorder QTY]]*Table2[[#This Row],[Unit Price (₹)]]</f>
        <v>112000</v>
      </c>
    </row>
    <row r="12" spans="1:17" x14ac:dyDescent="0.25">
      <c r="A12" s="3">
        <v>45883</v>
      </c>
      <c r="B12" t="s">
        <v>36</v>
      </c>
      <c r="C12" t="s">
        <v>24</v>
      </c>
      <c r="D12" t="s">
        <v>41</v>
      </c>
      <c r="E12" t="s">
        <v>20</v>
      </c>
      <c r="F12">
        <v>81</v>
      </c>
      <c r="G12">
        <v>34</v>
      </c>
      <c r="H12" t="s">
        <v>21</v>
      </c>
      <c r="I12">
        <v>3500</v>
      </c>
      <c r="J12">
        <v>78776.649999999994</v>
      </c>
      <c r="K12">
        <v>6</v>
      </c>
      <c r="L12">
        <v>21101.47</v>
      </c>
      <c r="M12" t="s">
        <v>65</v>
      </c>
      <c r="N12">
        <v>283500</v>
      </c>
      <c r="O12">
        <v>0</v>
      </c>
      <c r="P12">
        <v>47</v>
      </c>
      <c r="Q12">
        <f>Table2[[#This Row],[Above Reorder QTY]]*Table2[[#This Row],[Unit Price (₹)]]</f>
        <v>164500</v>
      </c>
    </row>
    <row r="13" spans="1:17" x14ac:dyDescent="0.25">
      <c r="A13" s="3">
        <v>45874</v>
      </c>
      <c r="B13" t="s">
        <v>36</v>
      </c>
      <c r="C13" t="s">
        <v>24</v>
      </c>
      <c r="D13" t="s">
        <v>42</v>
      </c>
      <c r="E13" t="s">
        <v>33</v>
      </c>
      <c r="F13">
        <v>231</v>
      </c>
      <c r="G13">
        <v>44</v>
      </c>
      <c r="H13" t="s">
        <v>55</v>
      </c>
      <c r="I13">
        <v>3500</v>
      </c>
      <c r="J13">
        <v>74004.789999999994</v>
      </c>
      <c r="K13">
        <v>4</v>
      </c>
      <c r="L13">
        <v>14947.26</v>
      </c>
      <c r="M13" t="s">
        <v>65</v>
      </c>
      <c r="N13">
        <v>808500</v>
      </c>
      <c r="O13">
        <v>0</v>
      </c>
      <c r="P13">
        <v>187</v>
      </c>
      <c r="Q13">
        <f>Table2[[#This Row],[Above Reorder QTY]]*Table2[[#This Row],[Unit Price (₹)]]</f>
        <v>654500</v>
      </c>
    </row>
    <row r="14" spans="1:17" x14ac:dyDescent="0.25">
      <c r="A14" s="3">
        <v>45852</v>
      </c>
      <c r="B14" t="s">
        <v>36</v>
      </c>
      <c r="C14" t="s">
        <v>24</v>
      </c>
      <c r="D14" t="s">
        <v>44</v>
      </c>
      <c r="E14" t="s">
        <v>29</v>
      </c>
      <c r="F14">
        <v>25</v>
      </c>
      <c r="G14">
        <v>22</v>
      </c>
      <c r="H14" t="s">
        <v>55</v>
      </c>
      <c r="I14">
        <v>3500</v>
      </c>
      <c r="J14">
        <v>21016.89</v>
      </c>
      <c r="K14">
        <v>4</v>
      </c>
      <c r="L14">
        <v>14171.66</v>
      </c>
      <c r="M14" t="s">
        <v>64</v>
      </c>
      <c r="N14">
        <v>87500</v>
      </c>
      <c r="O14">
        <v>0</v>
      </c>
      <c r="P14">
        <v>3</v>
      </c>
      <c r="Q14">
        <f>Table2[[#This Row],[Above Reorder QTY]]*Table2[[#This Row],[Unit Price (₹)]]</f>
        <v>10500</v>
      </c>
    </row>
    <row r="15" spans="1:17" x14ac:dyDescent="0.25">
      <c r="A15" s="3">
        <v>45790</v>
      </c>
      <c r="B15" t="s">
        <v>36</v>
      </c>
      <c r="C15" t="s">
        <v>24</v>
      </c>
      <c r="D15" t="s">
        <v>32</v>
      </c>
      <c r="E15" t="s">
        <v>29</v>
      </c>
      <c r="F15">
        <v>250</v>
      </c>
      <c r="G15">
        <v>28</v>
      </c>
      <c r="H15" t="s">
        <v>55</v>
      </c>
      <c r="I15">
        <v>3500</v>
      </c>
      <c r="J15">
        <v>39361.230000000003</v>
      </c>
      <c r="K15">
        <v>54</v>
      </c>
      <c r="L15">
        <v>180386.95</v>
      </c>
      <c r="M15" t="s">
        <v>62</v>
      </c>
      <c r="N15">
        <v>875000</v>
      </c>
      <c r="O15">
        <v>0</v>
      </c>
      <c r="P15">
        <v>222</v>
      </c>
      <c r="Q15">
        <f>Table2[[#This Row],[Above Reorder QTY]]*Table2[[#This Row],[Unit Price (₹)]]</f>
        <v>777000</v>
      </c>
    </row>
    <row r="16" spans="1:17" x14ac:dyDescent="0.25">
      <c r="A16" s="3">
        <v>45739</v>
      </c>
      <c r="B16" t="s">
        <v>36</v>
      </c>
      <c r="C16" t="s">
        <v>24</v>
      </c>
      <c r="D16" t="s">
        <v>19</v>
      </c>
      <c r="E16" t="s">
        <v>20</v>
      </c>
      <c r="F16">
        <v>157</v>
      </c>
      <c r="G16">
        <v>38</v>
      </c>
      <c r="H16" t="s">
        <v>55</v>
      </c>
      <c r="I16">
        <v>3500</v>
      </c>
      <c r="J16">
        <v>72402.3</v>
      </c>
      <c r="K16">
        <v>38</v>
      </c>
      <c r="L16">
        <v>143897.75</v>
      </c>
      <c r="M16" t="s">
        <v>59</v>
      </c>
      <c r="N16">
        <v>549500</v>
      </c>
      <c r="O16">
        <v>0</v>
      </c>
      <c r="P16">
        <v>119</v>
      </c>
      <c r="Q16">
        <f>Table2[[#This Row],[Above Reorder QTY]]*Table2[[#This Row],[Unit Price (₹)]]</f>
        <v>416500</v>
      </c>
    </row>
    <row r="17" spans="1:17" x14ac:dyDescent="0.25">
      <c r="A17" s="3">
        <v>45736</v>
      </c>
      <c r="B17" t="s">
        <v>36</v>
      </c>
      <c r="C17" t="s">
        <v>24</v>
      </c>
      <c r="D17" t="s">
        <v>44</v>
      </c>
      <c r="E17" t="s">
        <v>26</v>
      </c>
      <c r="F17">
        <v>203</v>
      </c>
      <c r="G17">
        <v>15</v>
      </c>
      <c r="H17" t="s">
        <v>55</v>
      </c>
      <c r="I17">
        <v>3500</v>
      </c>
      <c r="J17">
        <v>162086.07</v>
      </c>
      <c r="K17">
        <v>7</v>
      </c>
      <c r="L17">
        <v>25524.04</v>
      </c>
      <c r="M17" t="s">
        <v>59</v>
      </c>
      <c r="N17">
        <v>710500</v>
      </c>
      <c r="O17">
        <v>0</v>
      </c>
      <c r="P17">
        <v>188</v>
      </c>
      <c r="Q17">
        <f>Table2[[#This Row],[Above Reorder QTY]]*Table2[[#This Row],[Unit Price (₹)]]</f>
        <v>658000</v>
      </c>
    </row>
    <row r="18" spans="1:17" x14ac:dyDescent="0.25">
      <c r="A18" s="3">
        <v>45734</v>
      </c>
      <c r="B18" t="s">
        <v>36</v>
      </c>
      <c r="C18" t="s">
        <v>24</v>
      </c>
      <c r="D18" t="s">
        <v>19</v>
      </c>
      <c r="E18" t="s">
        <v>45</v>
      </c>
      <c r="F18">
        <v>112</v>
      </c>
      <c r="G18">
        <v>20</v>
      </c>
      <c r="H18" t="s">
        <v>55</v>
      </c>
      <c r="I18">
        <v>3500</v>
      </c>
      <c r="J18">
        <v>82828.960000000006</v>
      </c>
      <c r="K18">
        <v>9</v>
      </c>
      <c r="L18">
        <v>30624.16</v>
      </c>
      <c r="M18" t="s">
        <v>59</v>
      </c>
      <c r="N18">
        <v>392000</v>
      </c>
      <c r="O18">
        <v>0</v>
      </c>
      <c r="P18">
        <v>92</v>
      </c>
      <c r="Q18">
        <f>Table2[[#This Row],[Above Reorder QTY]]*Table2[[#This Row],[Unit Price (₹)]]</f>
        <v>322000</v>
      </c>
    </row>
    <row r="19" spans="1:17" x14ac:dyDescent="0.25">
      <c r="A19" s="3">
        <v>45731</v>
      </c>
      <c r="B19" t="s">
        <v>36</v>
      </c>
      <c r="C19" t="s">
        <v>24</v>
      </c>
      <c r="D19" t="s">
        <v>42</v>
      </c>
      <c r="E19" t="s">
        <v>20</v>
      </c>
      <c r="F19">
        <v>139</v>
      </c>
      <c r="G19">
        <v>16</v>
      </c>
      <c r="H19" t="s">
        <v>55</v>
      </c>
      <c r="I19">
        <v>3500</v>
      </c>
      <c r="J19">
        <v>17334.919999999998</v>
      </c>
      <c r="K19">
        <v>19</v>
      </c>
      <c r="L19">
        <v>68674.78</v>
      </c>
      <c r="M19" t="s">
        <v>59</v>
      </c>
      <c r="N19">
        <v>486500</v>
      </c>
      <c r="O19">
        <v>0</v>
      </c>
      <c r="P19">
        <v>123</v>
      </c>
      <c r="Q19">
        <f>Table2[[#This Row],[Above Reorder QTY]]*Table2[[#This Row],[Unit Price (₹)]]</f>
        <v>430500</v>
      </c>
    </row>
    <row r="20" spans="1:17" x14ac:dyDescent="0.25">
      <c r="A20" s="3">
        <v>45681</v>
      </c>
      <c r="B20" t="s">
        <v>36</v>
      </c>
      <c r="C20" t="s">
        <v>24</v>
      </c>
      <c r="D20" t="s">
        <v>25</v>
      </c>
      <c r="E20" t="s">
        <v>45</v>
      </c>
      <c r="F20">
        <v>57</v>
      </c>
      <c r="G20">
        <v>14</v>
      </c>
      <c r="H20" t="s">
        <v>21</v>
      </c>
      <c r="I20">
        <v>3500</v>
      </c>
      <c r="J20">
        <v>56253.91</v>
      </c>
      <c r="K20">
        <v>12</v>
      </c>
      <c r="L20">
        <v>40244.959999999999</v>
      </c>
      <c r="M20" t="s">
        <v>22</v>
      </c>
      <c r="N20">
        <v>199500</v>
      </c>
      <c r="O20">
        <v>0</v>
      </c>
      <c r="P20">
        <v>43</v>
      </c>
      <c r="Q20">
        <f>Table2[[#This Row],[Above Reorder QTY]]*Table2[[#This Row],[Unit Price (₹)]]</f>
        <v>150500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FBC8E-8CDE-491A-8C64-9220D54EFB36}">
  <dimension ref="A1:AB30"/>
  <sheetViews>
    <sheetView zoomScaleNormal="100" workbookViewId="0"/>
  </sheetViews>
  <sheetFormatPr defaultRowHeight="15" x14ac:dyDescent="0.25"/>
  <cols>
    <col min="1" max="1" width="29.7109375" bestFit="1" customWidth="1"/>
    <col min="2" max="2" width="12" bestFit="1" customWidth="1"/>
    <col min="3" max="3" width="19.7109375" customWidth="1"/>
    <col min="4" max="4" width="14.28515625" customWidth="1"/>
    <col min="5" max="5" width="5.7109375" customWidth="1"/>
    <col min="6" max="6" width="13.140625" bestFit="1" customWidth="1"/>
    <col min="7" max="7" width="21" bestFit="1" customWidth="1"/>
    <col min="8" max="9" width="24.5703125" bestFit="1" customWidth="1"/>
    <col min="10" max="10" width="16.5703125" bestFit="1" customWidth="1"/>
    <col min="11" max="11" width="22.140625" bestFit="1" customWidth="1"/>
    <col min="12" max="12" width="8.42578125" customWidth="1"/>
    <col min="13" max="13" width="22" customWidth="1"/>
    <col min="14" max="14" width="24.42578125" customWidth="1"/>
    <col min="16" max="16" width="18.140625" customWidth="1"/>
    <col min="17" max="17" width="21.7109375" customWidth="1"/>
    <col min="18" max="18" width="9.140625" customWidth="1"/>
    <col min="23" max="23" width="13" customWidth="1"/>
    <col min="28" max="28" width="13.140625" customWidth="1"/>
  </cols>
  <sheetData>
    <row r="1" spans="1:28" x14ac:dyDescent="0.25">
      <c r="A1" s="8" t="s">
        <v>83</v>
      </c>
    </row>
    <row r="2" spans="1:28" x14ac:dyDescent="0.25">
      <c r="D2" t="s">
        <v>96</v>
      </c>
      <c r="F2" s="8" t="s">
        <v>91</v>
      </c>
      <c r="J2" s="8" t="s">
        <v>92</v>
      </c>
    </row>
    <row r="3" spans="1:28" x14ac:dyDescent="0.25">
      <c r="A3" s="4" t="s">
        <v>70</v>
      </c>
    </row>
    <row r="4" spans="1:28" x14ac:dyDescent="0.25">
      <c r="A4" s="5" t="s">
        <v>21</v>
      </c>
      <c r="B4" s="6"/>
      <c r="C4" s="9" t="s">
        <v>84</v>
      </c>
      <c r="D4" s="13">
        <f>B28</f>
        <v>128081210</v>
      </c>
      <c r="F4" s="4" t="s">
        <v>70</v>
      </c>
      <c r="G4" t="s">
        <v>73</v>
      </c>
      <c r="H4" t="s">
        <v>71</v>
      </c>
      <c r="J4" s="4" t="s">
        <v>70</v>
      </c>
      <c r="K4" t="s">
        <v>74</v>
      </c>
      <c r="M4" s="4" t="s">
        <v>70</v>
      </c>
      <c r="N4" t="s">
        <v>93</v>
      </c>
      <c r="P4" s="4" t="s">
        <v>70</v>
      </c>
      <c r="Q4" t="s">
        <v>94</v>
      </c>
      <c r="R4" t="s">
        <v>72</v>
      </c>
      <c r="T4" s="4" t="s">
        <v>70</v>
      </c>
      <c r="U4" t="s">
        <v>75</v>
      </c>
      <c r="W4" s="4" t="s">
        <v>70</v>
      </c>
      <c r="X4" t="s">
        <v>71</v>
      </c>
      <c r="AA4" s="4" t="s">
        <v>70</v>
      </c>
      <c r="AB4" t="s">
        <v>72</v>
      </c>
    </row>
    <row r="5" spans="1:28" x14ac:dyDescent="0.25">
      <c r="A5" s="7" t="s">
        <v>71</v>
      </c>
      <c r="B5" s="6">
        <v>13035219.210000006</v>
      </c>
      <c r="C5" s="9" t="s">
        <v>85</v>
      </c>
      <c r="D5" s="9">
        <f>B26</f>
        <v>63128</v>
      </c>
      <c r="F5" s="5" t="s">
        <v>22</v>
      </c>
      <c r="G5" s="11">
        <v>2116119.8399999994</v>
      </c>
      <c r="H5" s="11">
        <v>1860159.8200000005</v>
      </c>
      <c r="J5" s="5" t="s">
        <v>18</v>
      </c>
      <c r="K5" s="11">
        <v>65867500</v>
      </c>
      <c r="M5" s="5" t="s">
        <v>57</v>
      </c>
      <c r="N5" s="11">
        <v>3507600</v>
      </c>
      <c r="P5" s="5" t="s">
        <v>18</v>
      </c>
      <c r="Q5" s="12">
        <v>1826</v>
      </c>
      <c r="R5" s="12">
        <v>15344</v>
      </c>
      <c r="T5" s="5" t="s">
        <v>21</v>
      </c>
      <c r="U5" s="12">
        <v>343</v>
      </c>
      <c r="W5" s="5" t="s">
        <v>20</v>
      </c>
      <c r="X5" s="11">
        <v>2786410.12</v>
      </c>
      <c r="AA5" s="5" t="s">
        <v>32</v>
      </c>
      <c r="AB5" s="12">
        <v>20839</v>
      </c>
    </row>
    <row r="6" spans="1:28" x14ac:dyDescent="0.25">
      <c r="A6" s="7" t="s">
        <v>72</v>
      </c>
      <c r="B6" s="14">
        <v>47636</v>
      </c>
      <c r="C6" s="9" t="s">
        <v>86</v>
      </c>
      <c r="D6" s="9">
        <f>IFERROR((B16),0)</f>
        <v>43</v>
      </c>
      <c r="F6" s="5" t="s">
        <v>52</v>
      </c>
      <c r="G6" s="11">
        <v>1838432.8499999999</v>
      </c>
      <c r="H6" s="11">
        <v>1654271.1099999996</v>
      </c>
      <c r="J6" s="5" t="s">
        <v>24</v>
      </c>
      <c r="K6" s="11">
        <v>27027800</v>
      </c>
      <c r="M6" s="5" t="s">
        <v>56</v>
      </c>
      <c r="N6" s="11">
        <v>3531600</v>
      </c>
      <c r="P6" s="5" t="s">
        <v>50</v>
      </c>
      <c r="Q6" s="12">
        <v>1216</v>
      </c>
      <c r="R6" s="12">
        <v>9247</v>
      </c>
      <c r="T6" s="5" t="s">
        <v>47</v>
      </c>
      <c r="U6" s="12">
        <v>43</v>
      </c>
      <c r="W6" s="5" t="s">
        <v>33</v>
      </c>
      <c r="X6" s="11">
        <v>2936621.88</v>
      </c>
      <c r="AA6" s="5" t="s">
        <v>19</v>
      </c>
      <c r="AB6" s="12">
        <v>12405</v>
      </c>
    </row>
    <row r="7" spans="1:28" x14ac:dyDescent="0.25">
      <c r="A7" s="7" t="s">
        <v>73</v>
      </c>
      <c r="B7" s="6">
        <v>11719977.089999998</v>
      </c>
      <c r="C7" s="9" t="s">
        <v>87</v>
      </c>
      <c r="D7" s="13">
        <f>B27</f>
        <v>15956040.819999989</v>
      </c>
      <c r="F7" s="5" t="s">
        <v>59</v>
      </c>
      <c r="G7" s="11">
        <v>1786169.3399999992</v>
      </c>
      <c r="H7" s="11">
        <v>2248859.14</v>
      </c>
      <c r="J7" s="5" t="s">
        <v>28</v>
      </c>
      <c r="K7" s="11">
        <v>14734410</v>
      </c>
      <c r="M7" s="5" t="s">
        <v>40</v>
      </c>
      <c r="N7" s="11">
        <v>3640000</v>
      </c>
      <c r="P7" s="5" t="s">
        <v>24</v>
      </c>
      <c r="Q7" s="12">
        <v>1513</v>
      </c>
      <c r="R7" s="12">
        <v>11890</v>
      </c>
      <c r="T7" s="5" t="s">
        <v>55</v>
      </c>
      <c r="U7" s="12">
        <v>114</v>
      </c>
      <c r="W7" s="5" t="s">
        <v>29</v>
      </c>
      <c r="X7" s="11">
        <v>2395811.8399999999</v>
      </c>
      <c r="AA7" s="5" t="s">
        <v>25</v>
      </c>
      <c r="AB7" s="12">
        <v>8292</v>
      </c>
    </row>
    <row r="8" spans="1:28" x14ac:dyDescent="0.25">
      <c r="A8" s="7" t="s">
        <v>74</v>
      </c>
      <c r="B8" s="6">
        <v>93684309</v>
      </c>
      <c r="C8" s="9" t="s">
        <v>88</v>
      </c>
      <c r="D8" s="13">
        <f>B25</f>
        <v>17883586.51000002</v>
      </c>
      <c r="F8" s="5" t="s">
        <v>60</v>
      </c>
      <c r="G8" s="11">
        <v>1481224.8600000006</v>
      </c>
      <c r="H8" s="11">
        <v>2378744.5400000005</v>
      </c>
      <c r="J8" s="5" t="s">
        <v>31</v>
      </c>
      <c r="K8" s="11">
        <v>10790500</v>
      </c>
      <c r="M8" s="5" t="s">
        <v>43</v>
      </c>
      <c r="N8" s="11">
        <v>5101800</v>
      </c>
      <c r="P8" s="5" t="s">
        <v>28</v>
      </c>
      <c r="Q8" s="12">
        <v>2039</v>
      </c>
      <c r="R8" s="12">
        <v>16190</v>
      </c>
      <c r="T8" s="5" t="s">
        <v>90</v>
      </c>
      <c r="U8" s="12">
        <v>500</v>
      </c>
      <c r="W8" s="5" t="s">
        <v>26</v>
      </c>
      <c r="X8" s="11">
        <v>2425401.0499999998</v>
      </c>
      <c r="AA8" s="5" t="s">
        <v>41</v>
      </c>
      <c r="AB8" s="12">
        <v>8198</v>
      </c>
    </row>
    <row r="9" spans="1:28" x14ac:dyDescent="0.25">
      <c r="A9" s="7" t="s">
        <v>75</v>
      </c>
      <c r="B9" s="14">
        <v>343</v>
      </c>
      <c r="C9" s="9" t="s">
        <v>89</v>
      </c>
      <c r="D9" s="10">
        <f>B30</f>
        <v>2024.4939999999999</v>
      </c>
      <c r="F9" s="5" t="s">
        <v>62</v>
      </c>
      <c r="G9" s="11">
        <v>1972889</v>
      </c>
      <c r="H9" s="11">
        <v>2193911.2599999998</v>
      </c>
      <c r="J9" s="5" t="s">
        <v>50</v>
      </c>
      <c r="K9" s="11">
        <v>9661000</v>
      </c>
      <c r="M9" s="5" t="s">
        <v>36</v>
      </c>
      <c r="N9" s="11">
        <v>5558000</v>
      </c>
      <c r="P9" s="5" t="s">
        <v>31</v>
      </c>
      <c r="Q9" s="12">
        <v>1397</v>
      </c>
      <c r="R9" s="12">
        <v>10457</v>
      </c>
      <c r="W9" s="5" t="s">
        <v>35</v>
      </c>
      <c r="X9" s="11">
        <v>2920982.76</v>
      </c>
      <c r="AA9" s="5" t="s">
        <v>42</v>
      </c>
      <c r="AB9" s="12">
        <v>8121</v>
      </c>
    </row>
    <row r="10" spans="1:28" x14ac:dyDescent="0.25">
      <c r="A10" s="7" t="s">
        <v>76</v>
      </c>
      <c r="B10" s="14">
        <v>2049.8804664723034</v>
      </c>
      <c r="F10" s="5" t="s">
        <v>63</v>
      </c>
      <c r="G10" s="11">
        <v>1076239.6000000001</v>
      </c>
      <c r="H10" s="11">
        <v>1082662.31</v>
      </c>
      <c r="J10" s="5" t="s">
        <v>90</v>
      </c>
      <c r="K10" s="11">
        <v>128081210</v>
      </c>
      <c r="M10" s="5" t="s">
        <v>23</v>
      </c>
      <c r="N10" s="11">
        <v>6692000</v>
      </c>
      <c r="P10" s="5" t="s">
        <v>90</v>
      </c>
      <c r="Q10" s="12">
        <v>7991</v>
      </c>
      <c r="R10" s="12">
        <v>63128</v>
      </c>
      <c r="W10" s="5" t="s">
        <v>37</v>
      </c>
      <c r="X10" s="11">
        <v>2681603.31</v>
      </c>
      <c r="AA10" s="5" t="s">
        <v>44</v>
      </c>
      <c r="AB10" s="12">
        <v>5273</v>
      </c>
    </row>
    <row r="11" spans="1:28" x14ac:dyDescent="0.25">
      <c r="A11" s="5" t="s">
        <v>47</v>
      </c>
      <c r="B11" s="6"/>
      <c r="F11" s="5" t="s">
        <v>64</v>
      </c>
      <c r="G11" s="11">
        <v>1065434.05</v>
      </c>
      <c r="H11" s="11">
        <v>964959.44000000006</v>
      </c>
      <c r="M11" s="5" t="s">
        <v>58</v>
      </c>
      <c r="N11" s="11">
        <v>7485000</v>
      </c>
      <c r="W11" s="5" t="s">
        <v>45</v>
      </c>
      <c r="X11" s="11">
        <v>1736755.55</v>
      </c>
      <c r="AA11" s="5" t="s">
        <v>90</v>
      </c>
      <c r="AB11" s="12">
        <v>63128</v>
      </c>
    </row>
    <row r="12" spans="1:28" x14ac:dyDescent="0.25">
      <c r="A12" s="7" t="s">
        <v>71</v>
      </c>
      <c r="B12" s="6">
        <v>171067.39999999997</v>
      </c>
      <c r="F12" s="5" t="s">
        <v>65</v>
      </c>
      <c r="G12" s="11">
        <v>1172373.5300000003</v>
      </c>
      <c r="H12" s="11">
        <v>1638269.32</v>
      </c>
      <c r="M12" s="5" t="s">
        <v>38</v>
      </c>
      <c r="N12" s="11">
        <v>11889000</v>
      </c>
      <c r="W12" s="5" t="s">
        <v>90</v>
      </c>
      <c r="X12" s="11">
        <v>17883586.510000002</v>
      </c>
    </row>
    <row r="13" spans="1:28" x14ac:dyDescent="0.25">
      <c r="A13" s="7" t="s">
        <v>72</v>
      </c>
      <c r="B13" s="14">
        <v>916</v>
      </c>
      <c r="F13" s="5" t="s">
        <v>66</v>
      </c>
      <c r="G13" s="11">
        <v>815085.59000000008</v>
      </c>
      <c r="H13" s="11">
        <v>1124690.2799999998</v>
      </c>
      <c r="M13" s="5" t="s">
        <v>46</v>
      </c>
      <c r="N13" s="11">
        <v>17460000</v>
      </c>
    </row>
    <row r="14" spans="1:28" x14ac:dyDescent="0.25">
      <c r="A14" s="7" t="s">
        <v>73</v>
      </c>
      <c r="B14" s="6">
        <v>171939.19999999995</v>
      </c>
      <c r="F14" s="5" t="s">
        <v>67</v>
      </c>
      <c r="G14" s="11">
        <v>1080547.7399999998</v>
      </c>
      <c r="H14" s="11">
        <v>962003.08000000007</v>
      </c>
      <c r="M14" s="5" t="s">
        <v>34</v>
      </c>
      <c r="N14" s="11">
        <v>20153500</v>
      </c>
    </row>
    <row r="15" spans="1:28" x14ac:dyDescent="0.25">
      <c r="A15" s="7" t="s">
        <v>74</v>
      </c>
      <c r="B15" s="6">
        <v>1170017</v>
      </c>
      <c r="F15" s="5" t="s">
        <v>68</v>
      </c>
      <c r="G15" s="11">
        <v>791245.75999999989</v>
      </c>
      <c r="H15" s="11">
        <v>818075.33999999985</v>
      </c>
      <c r="M15" s="5" t="s">
        <v>90</v>
      </c>
      <c r="N15" s="11">
        <v>85018500</v>
      </c>
    </row>
    <row r="16" spans="1:28" x14ac:dyDescent="0.25">
      <c r="A16" s="7" t="s">
        <v>75</v>
      </c>
      <c r="B16" s="14">
        <v>43</v>
      </c>
      <c r="F16" s="5" t="s">
        <v>69</v>
      </c>
      <c r="G16" s="11">
        <v>760278.65999999992</v>
      </c>
      <c r="H16" s="11">
        <v>956980.87</v>
      </c>
    </row>
    <row r="17" spans="1:8" x14ac:dyDescent="0.25">
      <c r="A17" s="7" t="s">
        <v>76</v>
      </c>
      <c r="B17" s="14">
        <v>1324.3255813953488</v>
      </c>
      <c r="F17" s="5" t="s">
        <v>90</v>
      </c>
      <c r="G17" s="11">
        <v>15956040.82</v>
      </c>
      <c r="H17" s="11">
        <v>17883586.510000002</v>
      </c>
    </row>
    <row r="18" spans="1:8" x14ac:dyDescent="0.25">
      <c r="A18" s="5" t="s">
        <v>55</v>
      </c>
      <c r="B18" s="6"/>
    </row>
    <row r="19" spans="1:8" x14ac:dyDescent="0.25">
      <c r="A19" s="7" t="s">
        <v>71</v>
      </c>
      <c r="B19" s="6">
        <v>4677299.9000000013</v>
      </c>
    </row>
    <row r="20" spans="1:8" x14ac:dyDescent="0.25">
      <c r="A20" s="7" t="s">
        <v>72</v>
      </c>
      <c r="B20" s="14">
        <v>14576</v>
      </c>
    </row>
    <row r="21" spans="1:8" x14ac:dyDescent="0.25">
      <c r="A21" s="7" t="s">
        <v>73</v>
      </c>
      <c r="B21" s="6">
        <v>4064124.5299999993</v>
      </c>
    </row>
    <row r="22" spans="1:8" x14ac:dyDescent="0.25">
      <c r="A22" s="7" t="s">
        <v>74</v>
      </c>
      <c r="B22" s="6">
        <v>33226884</v>
      </c>
    </row>
    <row r="23" spans="1:8" x14ac:dyDescent="0.25">
      <c r="A23" s="7" t="s">
        <v>75</v>
      </c>
      <c r="B23" s="14">
        <v>114</v>
      </c>
    </row>
    <row r="24" spans="1:8" x14ac:dyDescent="0.25">
      <c r="A24" s="7" t="s">
        <v>76</v>
      </c>
      <c r="B24" s="14">
        <v>2212.2105263157896</v>
      </c>
    </row>
    <row r="25" spans="1:8" x14ac:dyDescent="0.25">
      <c r="A25" s="5" t="s">
        <v>77</v>
      </c>
      <c r="B25" s="6">
        <v>17883586.51000002</v>
      </c>
    </row>
    <row r="26" spans="1:8" x14ac:dyDescent="0.25">
      <c r="A26" s="5" t="s">
        <v>78</v>
      </c>
      <c r="B26" s="14">
        <v>63128</v>
      </c>
    </row>
    <row r="27" spans="1:8" x14ac:dyDescent="0.25">
      <c r="A27" s="5" t="s">
        <v>79</v>
      </c>
      <c r="B27" s="6">
        <v>15956040.819999989</v>
      </c>
    </row>
    <row r="28" spans="1:8" x14ac:dyDescent="0.25">
      <c r="A28" s="5" t="s">
        <v>80</v>
      </c>
      <c r="B28" s="6">
        <v>128081210</v>
      </c>
    </row>
    <row r="29" spans="1:8" x14ac:dyDescent="0.25">
      <c r="A29" s="5" t="s">
        <v>81</v>
      </c>
      <c r="B29" s="14">
        <v>500</v>
      </c>
    </row>
    <row r="30" spans="1:8" x14ac:dyDescent="0.25">
      <c r="A30" s="5" t="s">
        <v>82</v>
      </c>
      <c r="B30" s="14">
        <v>2024.4939999999999</v>
      </c>
    </row>
  </sheetData>
  <pageMargins left="0.7" right="0.7" top="0.75" bottom="0.75" header="0.3" footer="0.3"/>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ADCB6-4E55-4466-8B37-B17F0C070CA4}">
  <dimension ref="A1"/>
  <sheetViews>
    <sheetView workbookViewId="0">
      <selection activeCell="I13" sqref="I13"/>
    </sheetView>
  </sheetViews>
  <sheetFormatPr defaultRowHeight="15" x14ac:dyDescent="0.25"/>
  <cols>
    <col min="1" max="1" width="18.85546875" bestFit="1" customWidth="1"/>
    <col min="2" max="2" width="19.42578125" customWidth="1"/>
    <col min="5" max="5" width="17.5703125" bestFit="1" customWidth="1"/>
    <col min="6" max="6" width="24.5703125" bestFit="1" customWidth="1"/>
    <col min="7" max="7" width="11.7109375" customWidth="1"/>
    <col min="9" max="9" width="13.140625" bestFit="1" customWidth="1"/>
    <col min="10" max="10" width="15.42578125" bestFit="1" customWidth="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FD2E4-5B19-46A8-9074-E1417F0E63F4}">
  <sheetPr codeName="Sheet1"/>
  <dimension ref="A3:R503"/>
  <sheetViews>
    <sheetView zoomScaleNormal="100" workbookViewId="0"/>
  </sheetViews>
  <sheetFormatPr defaultRowHeight="15" x14ac:dyDescent="0.25"/>
  <cols>
    <col min="1" max="1" width="10.42578125" bestFit="1" customWidth="1"/>
    <col min="2" max="2" width="17.5703125" bestFit="1" customWidth="1"/>
    <col min="3" max="3" width="15.140625" bestFit="1" customWidth="1"/>
    <col min="4" max="4" width="12.28515625" customWidth="1"/>
    <col min="5" max="5" width="15.85546875" bestFit="1" customWidth="1"/>
    <col min="6" max="6" width="10" customWidth="1"/>
    <col min="7" max="7" width="14.140625" customWidth="1"/>
    <col min="8" max="8" width="12.7109375" customWidth="1"/>
    <col min="9" max="9" width="13.42578125" customWidth="1"/>
    <col min="10" max="10" width="18.140625" customWidth="1"/>
    <col min="11" max="11" width="10.28515625" customWidth="1"/>
    <col min="12" max="12" width="14.7109375" customWidth="1"/>
    <col min="13" max="13" width="8.42578125" customWidth="1"/>
    <col min="14" max="14" width="17.7109375" customWidth="1"/>
    <col min="15" max="15" width="18.42578125" customWidth="1"/>
    <col min="16" max="16" width="18.28515625" customWidth="1"/>
    <col min="17" max="17" width="29.5703125" customWidth="1"/>
    <col min="18" max="18" width="16.7109375" customWidth="1"/>
  </cols>
  <sheetData>
    <row r="3" spans="1:18" x14ac:dyDescent="0.25">
      <c r="A3" s="1" t="s">
        <v>0</v>
      </c>
      <c r="B3" s="1" t="s">
        <v>1</v>
      </c>
      <c r="C3" s="1" t="s">
        <v>2</v>
      </c>
      <c r="D3" s="1" t="s">
        <v>3</v>
      </c>
      <c r="E3" s="1" t="s">
        <v>4</v>
      </c>
      <c r="F3" s="1" t="s">
        <v>5</v>
      </c>
      <c r="G3" s="1" t="s">
        <v>6</v>
      </c>
      <c r="H3" s="1" t="s">
        <v>7</v>
      </c>
      <c r="I3" s="1" t="s">
        <v>8</v>
      </c>
      <c r="J3" s="1" t="s">
        <v>9</v>
      </c>
      <c r="K3" s="1" t="s">
        <v>10</v>
      </c>
      <c r="L3" s="1" t="s">
        <v>11</v>
      </c>
      <c r="M3" s="1" t="s">
        <v>12</v>
      </c>
      <c r="N3" s="2" t="s">
        <v>13</v>
      </c>
      <c r="O3" s="2" t="s">
        <v>14</v>
      </c>
      <c r="P3" s="2" t="s">
        <v>15</v>
      </c>
      <c r="Q3" s="2" t="s">
        <v>16</v>
      </c>
      <c r="R3" s="1" t="s">
        <v>95</v>
      </c>
    </row>
    <row r="4" spans="1:18" x14ac:dyDescent="0.25">
      <c r="A4" s="3">
        <v>45658</v>
      </c>
      <c r="B4" t="s">
        <v>17</v>
      </c>
      <c r="C4" t="s">
        <v>18</v>
      </c>
      <c r="D4" t="s">
        <v>19</v>
      </c>
      <c r="E4" t="s">
        <v>20</v>
      </c>
      <c r="F4">
        <v>239</v>
      </c>
      <c r="G4">
        <v>31</v>
      </c>
      <c r="H4" t="s">
        <v>21</v>
      </c>
      <c r="I4">
        <v>250</v>
      </c>
      <c r="J4">
        <v>18118</v>
      </c>
      <c r="K4">
        <v>47</v>
      </c>
      <c r="L4">
        <v>11458.98</v>
      </c>
      <c r="M4" t="s">
        <v>22</v>
      </c>
      <c r="N4">
        <f>Table1[[#This Row],[Quantity]]*Table1[[#This Row],[Unit Price (₹)]]</f>
        <v>59750</v>
      </c>
      <c r="O4">
        <f>MAX(0,Table1[[#This Row],[Reorder Level]]-Table1[[#This Row],[Quantity]])</f>
        <v>0</v>
      </c>
      <c r="P4">
        <f>MAX(0,Table1[[#This Row],[Quantity]]-Table1[[#This Row],[Reorder Level]])</f>
        <v>208</v>
      </c>
      <c r="Q4">
        <f>Table1[[#This Row],[Above Reorder QTY]]*Table1[[#This Row],[Unit Price (₹)]]</f>
        <v>52000</v>
      </c>
    </row>
    <row r="5" spans="1:18" x14ac:dyDescent="0.25">
      <c r="A5" s="3">
        <v>45659</v>
      </c>
      <c r="B5" t="s">
        <v>23</v>
      </c>
      <c r="C5" t="s">
        <v>24</v>
      </c>
      <c r="D5" t="s">
        <v>25</v>
      </c>
      <c r="E5" t="s">
        <v>26</v>
      </c>
      <c r="F5">
        <v>204</v>
      </c>
      <c r="G5">
        <v>32</v>
      </c>
      <c r="H5" t="s">
        <v>21</v>
      </c>
      <c r="I5">
        <v>2800</v>
      </c>
      <c r="J5">
        <v>143935.20000000001</v>
      </c>
      <c r="K5">
        <v>46</v>
      </c>
      <c r="L5">
        <v>145636.92000000001</v>
      </c>
      <c r="M5" t="s">
        <v>22</v>
      </c>
      <c r="N5">
        <f>Table1[[#This Row],[Quantity]]*Table1[[#This Row],[Unit Price (₹)]]</f>
        <v>571200</v>
      </c>
      <c r="O5">
        <f>MAX(0,Table1[[#This Row],[Reorder Level]]-Table1[[#This Row],[Quantity]])</f>
        <v>0</v>
      </c>
      <c r="P5">
        <f>MAX(0,Table1[[#This Row],[Quantity]]-Table1[[#This Row],[Reorder Level]])</f>
        <v>172</v>
      </c>
      <c r="Q5">
        <f>Table1[[#This Row],[Above Reorder QTY]]*Table1[[#This Row],[Unit Price (₹)]]</f>
        <v>481600</v>
      </c>
    </row>
    <row r="6" spans="1:18" x14ac:dyDescent="0.25">
      <c r="A6" s="3">
        <v>45660</v>
      </c>
      <c r="B6" t="s">
        <v>27</v>
      </c>
      <c r="C6" t="s">
        <v>28</v>
      </c>
      <c r="D6" t="s">
        <v>19</v>
      </c>
      <c r="E6" t="s">
        <v>29</v>
      </c>
      <c r="F6">
        <v>245</v>
      </c>
      <c r="G6">
        <v>37</v>
      </c>
      <c r="H6" t="s">
        <v>21</v>
      </c>
      <c r="I6">
        <v>18</v>
      </c>
      <c r="J6">
        <v>627.44000000000005</v>
      </c>
      <c r="K6">
        <v>2</v>
      </c>
      <c r="L6">
        <v>38.65</v>
      </c>
      <c r="M6" t="s">
        <v>22</v>
      </c>
      <c r="N6">
        <f>Table1[[#This Row],[Quantity]]*Table1[[#This Row],[Unit Price (₹)]]</f>
        <v>4410</v>
      </c>
      <c r="O6">
        <f>MAX(0,Table1[[#This Row],[Reorder Level]]-Table1[[#This Row],[Quantity]])</f>
        <v>0</v>
      </c>
      <c r="P6">
        <f>MAX(0,Table1[[#This Row],[Quantity]]-Table1[[#This Row],[Reorder Level]])</f>
        <v>208</v>
      </c>
      <c r="Q6">
        <f>Table1[[#This Row],[Above Reorder QTY]]*Table1[[#This Row],[Unit Price (₹)]]</f>
        <v>3744</v>
      </c>
    </row>
    <row r="7" spans="1:18" x14ac:dyDescent="0.25">
      <c r="A7" s="3">
        <v>45661</v>
      </c>
      <c r="B7" t="s">
        <v>30</v>
      </c>
      <c r="C7" t="s">
        <v>31</v>
      </c>
      <c r="D7" t="s">
        <v>19</v>
      </c>
      <c r="E7" t="s">
        <v>26</v>
      </c>
      <c r="F7">
        <v>92</v>
      </c>
      <c r="G7">
        <v>40</v>
      </c>
      <c r="H7" t="s">
        <v>21</v>
      </c>
      <c r="I7">
        <v>1100</v>
      </c>
      <c r="J7">
        <v>21649.06</v>
      </c>
      <c r="K7">
        <v>10</v>
      </c>
      <c r="L7">
        <v>10903.63</v>
      </c>
      <c r="M7" t="s">
        <v>22</v>
      </c>
      <c r="N7">
        <f>Table1[[#This Row],[Quantity]]*Table1[[#This Row],[Unit Price (₹)]]</f>
        <v>101200</v>
      </c>
      <c r="O7">
        <f>MAX(0,Table1[[#This Row],[Reorder Level]]-Table1[[#This Row],[Quantity]])</f>
        <v>0</v>
      </c>
      <c r="P7">
        <f>MAX(0,Table1[[#This Row],[Quantity]]-Table1[[#This Row],[Reorder Level]])</f>
        <v>52</v>
      </c>
      <c r="Q7">
        <f>Table1[[#This Row],[Above Reorder QTY]]*Table1[[#This Row],[Unit Price (₹)]]</f>
        <v>57200</v>
      </c>
    </row>
    <row r="8" spans="1:18" x14ac:dyDescent="0.25">
      <c r="A8" s="3">
        <v>45662</v>
      </c>
      <c r="B8" t="s">
        <v>17</v>
      </c>
      <c r="C8" t="s">
        <v>18</v>
      </c>
      <c r="D8" t="s">
        <v>32</v>
      </c>
      <c r="E8" t="s">
        <v>33</v>
      </c>
      <c r="F8">
        <v>181</v>
      </c>
      <c r="G8">
        <v>22</v>
      </c>
      <c r="H8" t="s">
        <v>21</v>
      </c>
      <c r="I8">
        <v>250</v>
      </c>
      <c r="J8">
        <v>9802.2999999999993</v>
      </c>
      <c r="K8">
        <v>42</v>
      </c>
      <c r="L8">
        <v>10866.49</v>
      </c>
      <c r="M8" t="s">
        <v>22</v>
      </c>
      <c r="N8">
        <f>Table1[[#This Row],[Quantity]]*Table1[[#This Row],[Unit Price (₹)]]</f>
        <v>45250</v>
      </c>
      <c r="O8">
        <f>MAX(0,Table1[[#This Row],[Reorder Level]]-Table1[[#This Row],[Quantity]])</f>
        <v>0</v>
      </c>
      <c r="P8">
        <f>MAX(0,Table1[[#This Row],[Quantity]]-Table1[[#This Row],[Reorder Level]])</f>
        <v>159</v>
      </c>
      <c r="Q8">
        <f>Table1[[#This Row],[Above Reorder QTY]]*Table1[[#This Row],[Unit Price (₹)]]</f>
        <v>39750</v>
      </c>
    </row>
    <row r="9" spans="1:18" x14ac:dyDescent="0.25">
      <c r="A9" s="3">
        <v>45663</v>
      </c>
      <c r="B9" t="s">
        <v>34</v>
      </c>
      <c r="C9" t="s">
        <v>18</v>
      </c>
      <c r="D9" t="s">
        <v>32</v>
      </c>
      <c r="E9" t="s">
        <v>35</v>
      </c>
      <c r="F9">
        <v>127</v>
      </c>
      <c r="G9">
        <v>21</v>
      </c>
      <c r="H9" t="s">
        <v>21</v>
      </c>
      <c r="I9">
        <v>8500</v>
      </c>
      <c r="J9">
        <v>97945.56</v>
      </c>
      <c r="K9">
        <v>27</v>
      </c>
      <c r="L9">
        <v>251366.62</v>
      </c>
      <c r="M9" t="s">
        <v>22</v>
      </c>
      <c r="N9">
        <f>Table1[[#This Row],[Quantity]]*Table1[[#This Row],[Unit Price (₹)]]</f>
        <v>1079500</v>
      </c>
      <c r="O9">
        <f>MAX(0,Table1[[#This Row],[Reorder Level]]-Table1[[#This Row],[Quantity]])</f>
        <v>0</v>
      </c>
      <c r="P9">
        <f>MAX(0,Table1[[#This Row],[Quantity]]-Table1[[#This Row],[Reorder Level]])</f>
        <v>106</v>
      </c>
      <c r="Q9">
        <f>Table1[[#This Row],[Above Reorder QTY]]*Table1[[#This Row],[Unit Price (₹)]]</f>
        <v>901000</v>
      </c>
    </row>
    <row r="10" spans="1:18" x14ac:dyDescent="0.25">
      <c r="A10" s="3">
        <v>45664</v>
      </c>
      <c r="B10" t="s">
        <v>36</v>
      </c>
      <c r="C10" t="s">
        <v>24</v>
      </c>
      <c r="D10" t="s">
        <v>25</v>
      </c>
      <c r="E10" t="s">
        <v>37</v>
      </c>
      <c r="F10">
        <v>62</v>
      </c>
      <c r="G10">
        <v>33</v>
      </c>
      <c r="H10" t="s">
        <v>21</v>
      </c>
      <c r="I10">
        <v>3500</v>
      </c>
      <c r="J10">
        <v>46007.54</v>
      </c>
      <c r="K10">
        <v>12</v>
      </c>
      <c r="L10">
        <v>45076.54</v>
      </c>
      <c r="M10" t="s">
        <v>22</v>
      </c>
      <c r="N10">
        <f>Table1[[#This Row],[Quantity]]*Table1[[#This Row],[Unit Price (₹)]]</f>
        <v>217000</v>
      </c>
      <c r="O10">
        <f>MAX(0,Table1[[#This Row],[Reorder Level]]-Table1[[#This Row],[Quantity]])</f>
        <v>0</v>
      </c>
      <c r="P10">
        <f>MAX(0,Table1[[#This Row],[Quantity]]-Table1[[#This Row],[Reorder Level]])</f>
        <v>29</v>
      </c>
      <c r="Q10">
        <f>Table1[[#This Row],[Above Reorder QTY]]*Table1[[#This Row],[Unit Price (₹)]]</f>
        <v>101500</v>
      </c>
    </row>
    <row r="11" spans="1:18" x14ac:dyDescent="0.25">
      <c r="A11" s="3">
        <v>45665</v>
      </c>
      <c r="B11" t="s">
        <v>38</v>
      </c>
      <c r="C11" t="s">
        <v>18</v>
      </c>
      <c r="D11" t="s">
        <v>25</v>
      </c>
      <c r="E11" t="s">
        <v>33</v>
      </c>
      <c r="F11">
        <v>95</v>
      </c>
      <c r="G11">
        <v>50</v>
      </c>
      <c r="H11" t="s">
        <v>21</v>
      </c>
      <c r="I11">
        <v>4500</v>
      </c>
      <c r="J11">
        <v>68203.44</v>
      </c>
      <c r="K11">
        <v>5</v>
      </c>
      <c r="L11">
        <v>22793.48</v>
      </c>
      <c r="M11" t="s">
        <v>22</v>
      </c>
      <c r="N11">
        <f>Table1[[#This Row],[Quantity]]*Table1[[#This Row],[Unit Price (₹)]]</f>
        <v>427500</v>
      </c>
      <c r="O11">
        <f>MAX(0,Table1[[#This Row],[Reorder Level]]-Table1[[#This Row],[Quantity]])</f>
        <v>0</v>
      </c>
      <c r="P11">
        <f>MAX(0,Table1[[#This Row],[Quantity]]-Table1[[#This Row],[Reorder Level]])</f>
        <v>45</v>
      </c>
      <c r="Q11">
        <f>Table1[[#This Row],[Above Reorder QTY]]*Table1[[#This Row],[Unit Price (₹)]]</f>
        <v>202500</v>
      </c>
    </row>
    <row r="12" spans="1:18" x14ac:dyDescent="0.25">
      <c r="A12" s="3">
        <v>45666</v>
      </c>
      <c r="B12" t="s">
        <v>39</v>
      </c>
      <c r="C12" t="s">
        <v>31</v>
      </c>
      <c r="D12" t="s">
        <v>19</v>
      </c>
      <c r="E12" t="s">
        <v>33</v>
      </c>
      <c r="F12">
        <v>218</v>
      </c>
      <c r="G12">
        <v>31</v>
      </c>
      <c r="H12" t="s">
        <v>21</v>
      </c>
      <c r="I12">
        <v>650</v>
      </c>
      <c r="J12">
        <v>8759.44</v>
      </c>
      <c r="K12">
        <v>52</v>
      </c>
      <c r="L12">
        <v>34889.35</v>
      </c>
      <c r="M12" t="s">
        <v>22</v>
      </c>
      <c r="N12">
        <f>Table1[[#This Row],[Quantity]]*Table1[[#This Row],[Unit Price (₹)]]</f>
        <v>141700</v>
      </c>
      <c r="O12">
        <f>MAX(0,Table1[[#This Row],[Reorder Level]]-Table1[[#This Row],[Quantity]])</f>
        <v>0</v>
      </c>
      <c r="P12">
        <f>MAX(0,Table1[[#This Row],[Quantity]]-Table1[[#This Row],[Reorder Level]])</f>
        <v>187</v>
      </c>
      <c r="Q12">
        <f>Table1[[#This Row],[Above Reorder QTY]]*Table1[[#This Row],[Unit Price (₹)]]</f>
        <v>121550</v>
      </c>
    </row>
    <row r="13" spans="1:18" x14ac:dyDescent="0.25">
      <c r="A13" s="3">
        <v>45667</v>
      </c>
      <c r="B13" t="s">
        <v>40</v>
      </c>
      <c r="C13" t="s">
        <v>31</v>
      </c>
      <c r="D13" t="s">
        <v>19</v>
      </c>
      <c r="E13" t="s">
        <v>35</v>
      </c>
      <c r="F13">
        <v>126</v>
      </c>
      <c r="G13">
        <v>16</v>
      </c>
      <c r="H13" t="s">
        <v>21</v>
      </c>
      <c r="I13">
        <v>1400</v>
      </c>
      <c r="J13">
        <v>12695.07</v>
      </c>
      <c r="K13">
        <v>13</v>
      </c>
      <c r="L13">
        <v>18939.87</v>
      </c>
      <c r="M13" t="s">
        <v>22</v>
      </c>
      <c r="N13">
        <f>Table1[[#This Row],[Quantity]]*Table1[[#This Row],[Unit Price (₹)]]</f>
        <v>176400</v>
      </c>
      <c r="O13">
        <f>MAX(0,Table1[[#This Row],[Reorder Level]]-Table1[[#This Row],[Quantity]])</f>
        <v>0</v>
      </c>
      <c r="P13">
        <f>MAX(0,Table1[[#This Row],[Quantity]]-Table1[[#This Row],[Reorder Level]])</f>
        <v>110</v>
      </c>
      <c r="Q13">
        <f>Table1[[#This Row],[Above Reorder QTY]]*Table1[[#This Row],[Unit Price (₹)]]</f>
        <v>154000</v>
      </c>
    </row>
    <row r="14" spans="1:18" x14ac:dyDescent="0.25">
      <c r="A14" s="3">
        <v>45668</v>
      </c>
      <c r="B14" t="s">
        <v>34</v>
      </c>
      <c r="C14" t="s">
        <v>18</v>
      </c>
      <c r="D14" t="s">
        <v>32</v>
      </c>
      <c r="E14" t="s">
        <v>29</v>
      </c>
      <c r="F14">
        <v>47</v>
      </c>
      <c r="G14">
        <v>40</v>
      </c>
      <c r="H14" t="s">
        <v>21</v>
      </c>
      <c r="I14">
        <v>8500</v>
      </c>
      <c r="J14">
        <v>106794.56</v>
      </c>
      <c r="K14">
        <v>2</v>
      </c>
      <c r="L14">
        <v>17539.73</v>
      </c>
      <c r="M14" t="s">
        <v>22</v>
      </c>
      <c r="N14">
        <f>Table1[[#This Row],[Quantity]]*Table1[[#This Row],[Unit Price (₹)]]</f>
        <v>399500</v>
      </c>
      <c r="O14">
        <f>MAX(0,Table1[[#This Row],[Reorder Level]]-Table1[[#This Row],[Quantity]])</f>
        <v>0</v>
      </c>
      <c r="P14">
        <f>MAX(0,Table1[[#This Row],[Quantity]]-Table1[[#This Row],[Reorder Level]])</f>
        <v>7</v>
      </c>
      <c r="Q14">
        <f>Table1[[#This Row],[Above Reorder QTY]]*Table1[[#This Row],[Unit Price (₹)]]</f>
        <v>59500</v>
      </c>
    </row>
    <row r="15" spans="1:18" x14ac:dyDescent="0.25">
      <c r="A15" s="3">
        <v>45669</v>
      </c>
      <c r="B15" t="s">
        <v>40</v>
      </c>
      <c r="C15" t="s">
        <v>31</v>
      </c>
      <c r="D15" t="s">
        <v>41</v>
      </c>
      <c r="E15" t="s">
        <v>26</v>
      </c>
      <c r="F15">
        <v>99</v>
      </c>
      <c r="G15">
        <v>27</v>
      </c>
      <c r="H15" t="s">
        <v>21</v>
      </c>
      <c r="I15">
        <v>1400</v>
      </c>
      <c r="J15">
        <v>23676.34</v>
      </c>
      <c r="K15">
        <v>11</v>
      </c>
      <c r="L15">
        <v>15303.82</v>
      </c>
      <c r="M15" t="s">
        <v>22</v>
      </c>
      <c r="N15">
        <f>Table1[[#This Row],[Quantity]]*Table1[[#This Row],[Unit Price (₹)]]</f>
        <v>138600</v>
      </c>
      <c r="O15">
        <f>MAX(0,Table1[[#This Row],[Reorder Level]]-Table1[[#This Row],[Quantity]])</f>
        <v>0</v>
      </c>
      <c r="P15">
        <f>MAX(0,Table1[[#This Row],[Quantity]]-Table1[[#This Row],[Reorder Level]])</f>
        <v>72</v>
      </c>
      <c r="Q15">
        <f>Table1[[#This Row],[Above Reorder QTY]]*Table1[[#This Row],[Unit Price (₹)]]</f>
        <v>100800</v>
      </c>
    </row>
    <row r="16" spans="1:18" x14ac:dyDescent="0.25">
      <c r="A16" s="3">
        <v>45670</v>
      </c>
      <c r="B16" t="s">
        <v>34</v>
      </c>
      <c r="C16" t="s">
        <v>18</v>
      </c>
      <c r="D16" t="s">
        <v>42</v>
      </c>
      <c r="E16" t="s">
        <v>35</v>
      </c>
      <c r="F16">
        <v>97</v>
      </c>
      <c r="G16">
        <v>50</v>
      </c>
      <c r="H16" t="s">
        <v>21</v>
      </c>
      <c r="I16">
        <v>8500</v>
      </c>
      <c r="J16">
        <v>7503.36</v>
      </c>
      <c r="K16">
        <v>7</v>
      </c>
      <c r="L16">
        <v>57932.04</v>
      </c>
      <c r="M16" t="s">
        <v>22</v>
      </c>
      <c r="N16">
        <f>Table1[[#This Row],[Quantity]]*Table1[[#This Row],[Unit Price (₹)]]</f>
        <v>824500</v>
      </c>
      <c r="O16">
        <f>MAX(0,Table1[[#This Row],[Reorder Level]]-Table1[[#This Row],[Quantity]])</f>
        <v>0</v>
      </c>
      <c r="P16">
        <f>MAX(0,Table1[[#This Row],[Quantity]]-Table1[[#This Row],[Reorder Level]])</f>
        <v>47</v>
      </c>
      <c r="Q16">
        <f>Table1[[#This Row],[Above Reorder QTY]]*Table1[[#This Row],[Unit Price (₹)]]</f>
        <v>399500</v>
      </c>
    </row>
    <row r="17" spans="1:17" x14ac:dyDescent="0.25">
      <c r="A17" s="3">
        <v>45671</v>
      </c>
      <c r="B17" t="s">
        <v>38</v>
      </c>
      <c r="C17" t="s">
        <v>18</v>
      </c>
      <c r="D17" t="s">
        <v>42</v>
      </c>
      <c r="E17" t="s">
        <v>35</v>
      </c>
      <c r="F17">
        <v>152</v>
      </c>
      <c r="G17">
        <v>36</v>
      </c>
      <c r="H17" t="s">
        <v>21</v>
      </c>
      <c r="I17">
        <v>4500</v>
      </c>
      <c r="J17">
        <v>145616</v>
      </c>
      <c r="K17">
        <v>26</v>
      </c>
      <c r="L17">
        <v>130851.24</v>
      </c>
      <c r="M17" t="s">
        <v>22</v>
      </c>
      <c r="N17">
        <f>Table1[[#This Row],[Quantity]]*Table1[[#This Row],[Unit Price (₹)]]</f>
        <v>684000</v>
      </c>
      <c r="O17">
        <f>MAX(0,Table1[[#This Row],[Reorder Level]]-Table1[[#This Row],[Quantity]])</f>
        <v>0</v>
      </c>
      <c r="P17">
        <f>MAX(0,Table1[[#This Row],[Quantity]]-Table1[[#This Row],[Reorder Level]])</f>
        <v>116</v>
      </c>
      <c r="Q17">
        <f>Table1[[#This Row],[Above Reorder QTY]]*Table1[[#This Row],[Unit Price (₹)]]</f>
        <v>522000</v>
      </c>
    </row>
    <row r="18" spans="1:17" x14ac:dyDescent="0.25">
      <c r="A18" s="3">
        <v>45672</v>
      </c>
      <c r="B18" t="s">
        <v>43</v>
      </c>
      <c r="C18" t="s">
        <v>24</v>
      </c>
      <c r="D18" t="s">
        <v>19</v>
      </c>
      <c r="E18" t="s">
        <v>29</v>
      </c>
      <c r="F18">
        <v>223</v>
      </c>
      <c r="G18">
        <v>34</v>
      </c>
      <c r="H18" t="s">
        <v>21</v>
      </c>
      <c r="I18">
        <v>2200</v>
      </c>
      <c r="J18">
        <v>60247.42</v>
      </c>
      <c r="K18">
        <v>4</v>
      </c>
      <c r="L18">
        <v>10093.450000000001</v>
      </c>
      <c r="M18" t="s">
        <v>22</v>
      </c>
      <c r="N18">
        <f>Table1[[#This Row],[Quantity]]*Table1[[#This Row],[Unit Price (₹)]]</f>
        <v>490600</v>
      </c>
      <c r="O18">
        <f>MAX(0,Table1[[#This Row],[Reorder Level]]-Table1[[#This Row],[Quantity]])</f>
        <v>0</v>
      </c>
      <c r="P18">
        <f>MAX(0,Table1[[#This Row],[Quantity]]-Table1[[#This Row],[Reorder Level]])</f>
        <v>189</v>
      </c>
      <c r="Q18">
        <f>Table1[[#This Row],[Above Reorder QTY]]*Table1[[#This Row],[Unit Price (₹)]]</f>
        <v>415800</v>
      </c>
    </row>
    <row r="19" spans="1:17" x14ac:dyDescent="0.25">
      <c r="A19" s="3">
        <v>45673</v>
      </c>
      <c r="B19" t="s">
        <v>23</v>
      </c>
      <c r="C19" t="s">
        <v>24</v>
      </c>
      <c r="D19" t="s">
        <v>44</v>
      </c>
      <c r="E19" t="s">
        <v>35</v>
      </c>
      <c r="F19">
        <v>123</v>
      </c>
      <c r="G19">
        <v>40</v>
      </c>
      <c r="H19" t="s">
        <v>21</v>
      </c>
      <c r="I19">
        <v>2800</v>
      </c>
      <c r="J19">
        <v>27502.560000000001</v>
      </c>
      <c r="K19">
        <v>5</v>
      </c>
      <c r="L19">
        <v>15925.58</v>
      </c>
      <c r="M19" t="s">
        <v>22</v>
      </c>
      <c r="N19">
        <f>Table1[[#This Row],[Quantity]]*Table1[[#This Row],[Unit Price (₹)]]</f>
        <v>344400</v>
      </c>
      <c r="O19">
        <f>MAX(0,Table1[[#This Row],[Reorder Level]]-Table1[[#This Row],[Quantity]])</f>
        <v>0</v>
      </c>
      <c r="P19">
        <f>MAX(0,Table1[[#This Row],[Quantity]]-Table1[[#This Row],[Reorder Level]])</f>
        <v>83</v>
      </c>
      <c r="Q19">
        <f>Table1[[#This Row],[Above Reorder QTY]]*Table1[[#This Row],[Unit Price (₹)]]</f>
        <v>232400</v>
      </c>
    </row>
    <row r="20" spans="1:17" x14ac:dyDescent="0.25">
      <c r="A20" s="3">
        <v>45674</v>
      </c>
      <c r="B20" t="s">
        <v>40</v>
      </c>
      <c r="C20" t="s">
        <v>31</v>
      </c>
      <c r="D20" t="s">
        <v>19</v>
      </c>
      <c r="E20" t="s">
        <v>37</v>
      </c>
      <c r="F20">
        <v>215</v>
      </c>
      <c r="G20">
        <v>43</v>
      </c>
      <c r="H20" t="s">
        <v>21</v>
      </c>
      <c r="I20">
        <v>1400</v>
      </c>
      <c r="J20">
        <v>26652.25</v>
      </c>
      <c r="K20">
        <v>9</v>
      </c>
      <c r="L20">
        <v>12638.77</v>
      </c>
      <c r="M20" t="s">
        <v>22</v>
      </c>
      <c r="N20">
        <f>Table1[[#This Row],[Quantity]]*Table1[[#This Row],[Unit Price (₹)]]</f>
        <v>301000</v>
      </c>
      <c r="O20">
        <f>MAX(0,Table1[[#This Row],[Reorder Level]]-Table1[[#This Row],[Quantity]])</f>
        <v>0</v>
      </c>
      <c r="P20">
        <f>MAX(0,Table1[[#This Row],[Quantity]]-Table1[[#This Row],[Reorder Level]])</f>
        <v>172</v>
      </c>
      <c r="Q20">
        <f>Table1[[#This Row],[Above Reorder QTY]]*Table1[[#This Row],[Unit Price (₹)]]</f>
        <v>240800</v>
      </c>
    </row>
    <row r="21" spans="1:17" x14ac:dyDescent="0.25">
      <c r="A21" s="3">
        <v>45675</v>
      </c>
      <c r="B21" t="s">
        <v>39</v>
      </c>
      <c r="C21" t="s">
        <v>31</v>
      </c>
      <c r="D21" t="s">
        <v>44</v>
      </c>
      <c r="E21" t="s">
        <v>45</v>
      </c>
      <c r="F21">
        <v>123</v>
      </c>
      <c r="G21">
        <v>42</v>
      </c>
      <c r="H21" t="s">
        <v>21</v>
      </c>
      <c r="I21">
        <v>650</v>
      </c>
      <c r="J21">
        <v>494.83</v>
      </c>
      <c r="K21">
        <v>21</v>
      </c>
      <c r="L21">
        <v>15328.19</v>
      </c>
      <c r="M21" t="s">
        <v>22</v>
      </c>
      <c r="N21">
        <f>Table1[[#This Row],[Quantity]]*Table1[[#This Row],[Unit Price (₹)]]</f>
        <v>79950</v>
      </c>
      <c r="O21">
        <f>MAX(0,Table1[[#This Row],[Reorder Level]]-Table1[[#This Row],[Quantity]])</f>
        <v>0</v>
      </c>
      <c r="P21">
        <f>MAX(0,Table1[[#This Row],[Quantity]]-Table1[[#This Row],[Reorder Level]])</f>
        <v>81</v>
      </c>
      <c r="Q21">
        <f>Table1[[#This Row],[Above Reorder QTY]]*Table1[[#This Row],[Unit Price (₹)]]</f>
        <v>52650</v>
      </c>
    </row>
    <row r="22" spans="1:17" x14ac:dyDescent="0.25">
      <c r="A22" s="3">
        <v>45676</v>
      </c>
      <c r="B22" t="s">
        <v>46</v>
      </c>
      <c r="C22" t="s">
        <v>18</v>
      </c>
      <c r="D22" t="s">
        <v>19</v>
      </c>
      <c r="E22" t="s">
        <v>35</v>
      </c>
      <c r="F22">
        <v>9</v>
      </c>
      <c r="G22">
        <v>32</v>
      </c>
      <c r="H22" t="s">
        <v>47</v>
      </c>
      <c r="I22">
        <v>6000</v>
      </c>
      <c r="J22">
        <v>15634.58</v>
      </c>
      <c r="K22">
        <v>1</v>
      </c>
      <c r="L22">
        <v>6396.1</v>
      </c>
      <c r="M22" t="s">
        <v>22</v>
      </c>
      <c r="N22">
        <f>Table1[[#This Row],[Quantity]]*Table1[[#This Row],[Unit Price (₹)]]</f>
        <v>54000</v>
      </c>
      <c r="O22">
        <f>MAX(0,Table1[[#This Row],[Reorder Level]]-Table1[[#This Row],[Quantity]])</f>
        <v>23</v>
      </c>
      <c r="P22">
        <f>MAX(0,Table1[[#This Row],[Quantity]]-Table1[[#This Row],[Reorder Level]])</f>
        <v>0</v>
      </c>
      <c r="Q22">
        <f>Table1[[#This Row],[Above Reorder QTY]]*Table1[[#This Row],[Unit Price (₹)]]</f>
        <v>0</v>
      </c>
    </row>
    <row r="23" spans="1:17" x14ac:dyDescent="0.25">
      <c r="A23" s="3">
        <v>45677</v>
      </c>
      <c r="B23" t="s">
        <v>38</v>
      </c>
      <c r="C23" t="s">
        <v>18</v>
      </c>
      <c r="D23" t="s">
        <v>41</v>
      </c>
      <c r="E23" t="s">
        <v>26</v>
      </c>
      <c r="F23">
        <v>45</v>
      </c>
      <c r="G23">
        <v>14</v>
      </c>
      <c r="H23" t="s">
        <v>21</v>
      </c>
      <c r="I23">
        <v>4500</v>
      </c>
      <c r="J23">
        <v>32651.69</v>
      </c>
      <c r="K23">
        <v>10</v>
      </c>
      <c r="L23">
        <v>48762.18</v>
      </c>
      <c r="M23" t="s">
        <v>22</v>
      </c>
      <c r="N23">
        <f>Table1[[#This Row],[Quantity]]*Table1[[#This Row],[Unit Price (₹)]]</f>
        <v>202500</v>
      </c>
      <c r="O23">
        <f>MAX(0,Table1[[#This Row],[Reorder Level]]-Table1[[#This Row],[Quantity]])</f>
        <v>0</v>
      </c>
      <c r="P23">
        <f>MAX(0,Table1[[#This Row],[Quantity]]-Table1[[#This Row],[Reorder Level]])</f>
        <v>31</v>
      </c>
      <c r="Q23">
        <f>Table1[[#This Row],[Above Reorder QTY]]*Table1[[#This Row],[Unit Price (₹)]]</f>
        <v>139500</v>
      </c>
    </row>
    <row r="24" spans="1:17" x14ac:dyDescent="0.25">
      <c r="A24" s="3">
        <v>45678</v>
      </c>
      <c r="B24" t="s">
        <v>17</v>
      </c>
      <c r="C24" t="s">
        <v>18</v>
      </c>
      <c r="D24" t="s">
        <v>41</v>
      </c>
      <c r="E24" t="s">
        <v>29</v>
      </c>
      <c r="F24">
        <v>43</v>
      </c>
      <c r="G24">
        <v>21</v>
      </c>
      <c r="H24" t="s">
        <v>21</v>
      </c>
      <c r="I24">
        <v>250</v>
      </c>
      <c r="J24">
        <v>1199.17</v>
      </c>
      <c r="K24">
        <v>9</v>
      </c>
      <c r="L24">
        <v>2529.33</v>
      </c>
      <c r="M24" t="s">
        <v>22</v>
      </c>
      <c r="N24">
        <f>Table1[[#This Row],[Quantity]]*Table1[[#This Row],[Unit Price (₹)]]</f>
        <v>10750</v>
      </c>
      <c r="O24">
        <f>MAX(0,Table1[[#This Row],[Reorder Level]]-Table1[[#This Row],[Quantity]])</f>
        <v>0</v>
      </c>
      <c r="P24">
        <f>MAX(0,Table1[[#This Row],[Quantity]]-Table1[[#This Row],[Reorder Level]])</f>
        <v>22</v>
      </c>
      <c r="Q24">
        <f>Table1[[#This Row],[Above Reorder QTY]]*Table1[[#This Row],[Unit Price (₹)]]</f>
        <v>5500</v>
      </c>
    </row>
    <row r="25" spans="1:17" x14ac:dyDescent="0.25">
      <c r="A25" s="3">
        <v>45679</v>
      </c>
      <c r="B25" t="s">
        <v>43</v>
      </c>
      <c r="C25" t="s">
        <v>24</v>
      </c>
      <c r="D25" t="s">
        <v>42</v>
      </c>
      <c r="E25" t="s">
        <v>29</v>
      </c>
      <c r="F25">
        <v>159</v>
      </c>
      <c r="G25">
        <v>19</v>
      </c>
      <c r="H25" t="s">
        <v>21</v>
      </c>
      <c r="I25">
        <v>2200</v>
      </c>
      <c r="J25">
        <v>6087.07</v>
      </c>
      <c r="K25">
        <v>11</v>
      </c>
      <c r="L25">
        <v>23654.53</v>
      </c>
      <c r="M25" t="s">
        <v>22</v>
      </c>
      <c r="N25">
        <f>Table1[[#This Row],[Quantity]]*Table1[[#This Row],[Unit Price (₹)]]</f>
        <v>349800</v>
      </c>
      <c r="O25">
        <f>MAX(0,Table1[[#This Row],[Reorder Level]]-Table1[[#This Row],[Quantity]])</f>
        <v>0</v>
      </c>
      <c r="P25">
        <f>MAX(0,Table1[[#This Row],[Quantity]]-Table1[[#This Row],[Reorder Level]])</f>
        <v>140</v>
      </c>
      <c r="Q25">
        <f>Table1[[#This Row],[Above Reorder QTY]]*Table1[[#This Row],[Unit Price (₹)]]</f>
        <v>308000</v>
      </c>
    </row>
    <row r="26" spans="1:17" x14ac:dyDescent="0.25">
      <c r="A26" s="3">
        <v>45680</v>
      </c>
      <c r="B26" t="s">
        <v>48</v>
      </c>
      <c r="C26" t="s">
        <v>28</v>
      </c>
      <c r="D26" t="s">
        <v>41</v>
      </c>
      <c r="E26" t="s">
        <v>29</v>
      </c>
      <c r="F26">
        <v>44</v>
      </c>
      <c r="G26">
        <v>37</v>
      </c>
      <c r="H26" t="s">
        <v>21</v>
      </c>
      <c r="I26">
        <v>45</v>
      </c>
      <c r="J26">
        <v>493.57</v>
      </c>
      <c r="K26">
        <v>5</v>
      </c>
      <c r="L26">
        <v>220.41</v>
      </c>
      <c r="M26" t="s">
        <v>22</v>
      </c>
      <c r="N26">
        <f>Table1[[#This Row],[Quantity]]*Table1[[#This Row],[Unit Price (₹)]]</f>
        <v>1980</v>
      </c>
      <c r="O26">
        <f>MAX(0,Table1[[#This Row],[Reorder Level]]-Table1[[#This Row],[Quantity]])</f>
        <v>0</v>
      </c>
      <c r="P26">
        <f>MAX(0,Table1[[#This Row],[Quantity]]-Table1[[#This Row],[Reorder Level]])</f>
        <v>7</v>
      </c>
      <c r="Q26">
        <f>Table1[[#This Row],[Above Reorder QTY]]*Table1[[#This Row],[Unit Price (₹)]]</f>
        <v>315</v>
      </c>
    </row>
    <row r="27" spans="1:17" x14ac:dyDescent="0.25">
      <c r="A27" s="3">
        <v>45681</v>
      </c>
      <c r="B27" t="s">
        <v>36</v>
      </c>
      <c r="C27" t="s">
        <v>24</v>
      </c>
      <c r="D27" t="s">
        <v>25</v>
      </c>
      <c r="E27" t="s">
        <v>45</v>
      </c>
      <c r="F27">
        <v>57</v>
      </c>
      <c r="G27">
        <v>14</v>
      </c>
      <c r="H27" t="s">
        <v>21</v>
      </c>
      <c r="I27">
        <v>3500</v>
      </c>
      <c r="J27">
        <v>56253.91</v>
      </c>
      <c r="K27">
        <v>12</v>
      </c>
      <c r="L27">
        <v>40244.959999999999</v>
      </c>
      <c r="M27" t="s">
        <v>22</v>
      </c>
      <c r="N27">
        <f>Table1[[#This Row],[Quantity]]*Table1[[#This Row],[Unit Price (₹)]]</f>
        <v>199500</v>
      </c>
      <c r="O27">
        <f>MAX(0,Table1[[#This Row],[Reorder Level]]-Table1[[#This Row],[Quantity]])</f>
        <v>0</v>
      </c>
      <c r="P27">
        <f>MAX(0,Table1[[#This Row],[Quantity]]-Table1[[#This Row],[Reorder Level]])</f>
        <v>43</v>
      </c>
      <c r="Q27">
        <f>Table1[[#This Row],[Above Reorder QTY]]*Table1[[#This Row],[Unit Price (₹)]]</f>
        <v>150500</v>
      </c>
    </row>
    <row r="28" spans="1:17" x14ac:dyDescent="0.25">
      <c r="A28" s="3">
        <v>45682</v>
      </c>
      <c r="B28" t="s">
        <v>39</v>
      </c>
      <c r="C28" t="s">
        <v>31</v>
      </c>
      <c r="D28" t="s">
        <v>19</v>
      </c>
      <c r="E28" t="s">
        <v>45</v>
      </c>
      <c r="F28">
        <v>69</v>
      </c>
      <c r="G28">
        <v>12</v>
      </c>
      <c r="H28" t="s">
        <v>21</v>
      </c>
      <c r="I28">
        <v>650</v>
      </c>
      <c r="J28">
        <v>581.21</v>
      </c>
      <c r="K28">
        <v>15</v>
      </c>
      <c r="L28">
        <v>10832.86</v>
      </c>
      <c r="M28" t="s">
        <v>22</v>
      </c>
      <c r="N28">
        <f>Table1[[#This Row],[Quantity]]*Table1[[#This Row],[Unit Price (₹)]]</f>
        <v>44850</v>
      </c>
      <c r="O28">
        <f>MAX(0,Table1[[#This Row],[Reorder Level]]-Table1[[#This Row],[Quantity]])</f>
        <v>0</v>
      </c>
      <c r="P28">
        <f>MAX(0,Table1[[#This Row],[Quantity]]-Table1[[#This Row],[Reorder Level]])</f>
        <v>57</v>
      </c>
      <c r="Q28">
        <f>Table1[[#This Row],[Above Reorder QTY]]*Table1[[#This Row],[Unit Price (₹)]]</f>
        <v>37050</v>
      </c>
    </row>
    <row r="29" spans="1:17" x14ac:dyDescent="0.25">
      <c r="A29" s="3">
        <v>45683</v>
      </c>
      <c r="B29" t="s">
        <v>23</v>
      </c>
      <c r="C29" t="s">
        <v>24</v>
      </c>
      <c r="D29" t="s">
        <v>42</v>
      </c>
      <c r="E29" t="s">
        <v>37</v>
      </c>
      <c r="F29">
        <v>218</v>
      </c>
      <c r="G29">
        <v>26</v>
      </c>
      <c r="H29" t="s">
        <v>21</v>
      </c>
      <c r="I29">
        <v>2800</v>
      </c>
      <c r="J29">
        <v>2488.9699999999998</v>
      </c>
      <c r="K29">
        <v>47</v>
      </c>
      <c r="L29">
        <v>144206.76</v>
      </c>
      <c r="M29" t="s">
        <v>22</v>
      </c>
      <c r="N29">
        <f>Table1[[#This Row],[Quantity]]*Table1[[#This Row],[Unit Price (₹)]]</f>
        <v>610400</v>
      </c>
      <c r="O29">
        <f>MAX(0,Table1[[#This Row],[Reorder Level]]-Table1[[#This Row],[Quantity]])</f>
        <v>0</v>
      </c>
      <c r="P29">
        <f>MAX(0,Table1[[#This Row],[Quantity]]-Table1[[#This Row],[Reorder Level]])</f>
        <v>192</v>
      </c>
      <c r="Q29">
        <f>Table1[[#This Row],[Above Reorder QTY]]*Table1[[#This Row],[Unit Price (₹)]]</f>
        <v>537600</v>
      </c>
    </row>
    <row r="30" spans="1:17" x14ac:dyDescent="0.25">
      <c r="A30" s="3">
        <v>45684</v>
      </c>
      <c r="B30" t="s">
        <v>46</v>
      </c>
      <c r="C30" t="s">
        <v>18</v>
      </c>
      <c r="D30" t="s">
        <v>25</v>
      </c>
      <c r="E30" t="s">
        <v>33</v>
      </c>
      <c r="F30">
        <v>103</v>
      </c>
      <c r="G30">
        <v>20</v>
      </c>
      <c r="H30" t="s">
        <v>21</v>
      </c>
      <c r="I30">
        <v>6000</v>
      </c>
      <c r="J30">
        <v>57076.14</v>
      </c>
      <c r="K30">
        <v>16</v>
      </c>
      <c r="L30">
        <v>98743.58</v>
      </c>
      <c r="M30" t="s">
        <v>22</v>
      </c>
      <c r="N30">
        <f>Table1[[#This Row],[Quantity]]*Table1[[#This Row],[Unit Price (₹)]]</f>
        <v>618000</v>
      </c>
      <c r="O30">
        <f>MAX(0,Table1[[#This Row],[Reorder Level]]-Table1[[#This Row],[Quantity]])</f>
        <v>0</v>
      </c>
      <c r="P30">
        <f>MAX(0,Table1[[#This Row],[Quantity]]-Table1[[#This Row],[Reorder Level]])</f>
        <v>83</v>
      </c>
      <c r="Q30">
        <f>Table1[[#This Row],[Above Reorder QTY]]*Table1[[#This Row],[Unit Price (₹)]]</f>
        <v>498000</v>
      </c>
    </row>
    <row r="31" spans="1:17" x14ac:dyDescent="0.25">
      <c r="A31" s="3">
        <v>45685</v>
      </c>
      <c r="B31" t="s">
        <v>46</v>
      </c>
      <c r="C31" t="s">
        <v>18</v>
      </c>
      <c r="D31" t="s">
        <v>44</v>
      </c>
      <c r="E31" t="s">
        <v>29</v>
      </c>
      <c r="F31">
        <v>35</v>
      </c>
      <c r="G31">
        <v>48</v>
      </c>
      <c r="H31" t="s">
        <v>47</v>
      </c>
      <c r="I31">
        <v>6000</v>
      </c>
      <c r="J31">
        <v>9245.6</v>
      </c>
      <c r="K31">
        <v>4</v>
      </c>
      <c r="L31">
        <v>24770.39</v>
      </c>
      <c r="M31" t="s">
        <v>22</v>
      </c>
      <c r="N31">
        <f>Table1[[#This Row],[Quantity]]*Table1[[#This Row],[Unit Price (₹)]]</f>
        <v>210000</v>
      </c>
      <c r="O31">
        <f>MAX(0,Table1[[#This Row],[Reorder Level]]-Table1[[#This Row],[Quantity]])</f>
        <v>13</v>
      </c>
      <c r="P31">
        <f>MAX(0,Table1[[#This Row],[Quantity]]-Table1[[#This Row],[Reorder Level]])</f>
        <v>0</v>
      </c>
      <c r="Q31">
        <f>Table1[[#This Row],[Above Reorder QTY]]*Table1[[#This Row],[Unit Price (₹)]]</f>
        <v>0</v>
      </c>
    </row>
    <row r="32" spans="1:17" x14ac:dyDescent="0.25">
      <c r="A32" s="3">
        <v>45686</v>
      </c>
      <c r="B32" t="s">
        <v>49</v>
      </c>
      <c r="C32" t="s">
        <v>50</v>
      </c>
      <c r="D32" t="s">
        <v>42</v>
      </c>
      <c r="E32" t="s">
        <v>45</v>
      </c>
      <c r="F32">
        <v>94</v>
      </c>
      <c r="G32">
        <v>43</v>
      </c>
      <c r="H32" t="s">
        <v>21</v>
      </c>
      <c r="I32">
        <v>850</v>
      </c>
      <c r="J32">
        <v>15938.6</v>
      </c>
      <c r="K32">
        <v>15</v>
      </c>
      <c r="L32">
        <v>12512.79</v>
      </c>
      <c r="M32" t="s">
        <v>22</v>
      </c>
      <c r="N32">
        <f>Table1[[#This Row],[Quantity]]*Table1[[#This Row],[Unit Price (₹)]]</f>
        <v>79900</v>
      </c>
      <c r="O32">
        <f>MAX(0,Table1[[#This Row],[Reorder Level]]-Table1[[#This Row],[Quantity]])</f>
        <v>0</v>
      </c>
      <c r="P32">
        <f>MAX(0,Table1[[#This Row],[Quantity]]-Table1[[#This Row],[Reorder Level]])</f>
        <v>51</v>
      </c>
      <c r="Q32">
        <f>Table1[[#This Row],[Above Reorder QTY]]*Table1[[#This Row],[Unit Price (₹)]]</f>
        <v>43350</v>
      </c>
    </row>
    <row r="33" spans="1:17" x14ac:dyDescent="0.25">
      <c r="A33" s="3">
        <v>45687</v>
      </c>
      <c r="B33" t="s">
        <v>51</v>
      </c>
      <c r="C33" t="s">
        <v>18</v>
      </c>
      <c r="D33" t="s">
        <v>42</v>
      </c>
      <c r="E33" t="s">
        <v>20</v>
      </c>
      <c r="F33">
        <v>238</v>
      </c>
      <c r="G33">
        <v>29</v>
      </c>
      <c r="H33" t="s">
        <v>21</v>
      </c>
      <c r="I33">
        <v>450</v>
      </c>
      <c r="J33">
        <v>18041.439999999999</v>
      </c>
      <c r="K33">
        <v>52</v>
      </c>
      <c r="L33">
        <v>23174.68</v>
      </c>
      <c r="M33" t="s">
        <v>22</v>
      </c>
      <c r="N33">
        <f>Table1[[#This Row],[Quantity]]*Table1[[#This Row],[Unit Price (₹)]]</f>
        <v>107100</v>
      </c>
      <c r="O33">
        <f>MAX(0,Table1[[#This Row],[Reorder Level]]-Table1[[#This Row],[Quantity]])</f>
        <v>0</v>
      </c>
      <c r="P33">
        <f>MAX(0,Table1[[#This Row],[Quantity]]-Table1[[#This Row],[Reorder Level]])</f>
        <v>209</v>
      </c>
      <c r="Q33">
        <f>Table1[[#This Row],[Above Reorder QTY]]*Table1[[#This Row],[Unit Price (₹)]]</f>
        <v>94050</v>
      </c>
    </row>
    <row r="34" spans="1:17" x14ac:dyDescent="0.25">
      <c r="A34" s="3">
        <v>45688</v>
      </c>
      <c r="B34" t="s">
        <v>39</v>
      </c>
      <c r="C34" t="s">
        <v>31</v>
      </c>
      <c r="D34" t="s">
        <v>44</v>
      </c>
      <c r="E34" t="s">
        <v>37</v>
      </c>
      <c r="F34">
        <v>199</v>
      </c>
      <c r="G34">
        <v>36</v>
      </c>
      <c r="H34" t="s">
        <v>21</v>
      </c>
      <c r="I34">
        <v>650</v>
      </c>
      <c r="J34">
        <v>20802.310000000001</v>
      </c>
      <c r="K34">
        <v>47</v>
      </c>
      <c r="L34">
        <v>29822.77</v>
      </c>
      <c r="M34" t="s">
        <v>22</v>
      </c>
      <c r="N34">
        <f>Table1[[#This Row],[Quantity]]*Table1[[#This Row],[Unit Price (₹)]]</f>
        <v>129350</v>
      </c>
      <c r="O34">
        <f>MAX(0,Table1[[#This Row],[Reorder Level]]-Table1[[#This Row],[Quantity]])</f>
        <v>0</v>
      </c>
      <c r="P34">
        <f>MAX(0,Table1[[#This Row],[Quantity]]-Table1[[#This Row],[Reorder Level]])</f>
        <v>163</v>
      </c>
      <c r="Q34">
        <f>Table1[[#This Row],[Above Reorder QTY]]*Table1[[#This Row],[Unit Price (₹)]]</f>
        <v>105950</v>
      </c>
    </row>
    <row r="35" spans="1:17" x14ac:dyDescent="0.25">
      <c r="A35" s="3">
        <v>45689</v>
      </c>
      <c r="B35" t="s">
        <v>49</v>
      </c>
      <c r="C35" t="s">
        <v>50</v>
      </c>
      <c r="D35" t="s">
        <v>41</v>
      </c>
      <c r="E35" t="s">
        <v>37</v>
      </c>
      <c r="F35">
        <v>11</v>
      </c>
      <c r="G35">
        <v>26</v>
      </c>
      <c r="H35" t="s">
        <v>47</v>
      </c>
      <c r="I35">
        <v>850</v>
      </c>
      <c r="J35">
        <v>792.48</v>
      </c>
      <c r="K35">
        <v>2</v>
      </c>
      <c r="L35">
        <v>1836.84</v>
      </c>
      <c r="M35" t="s">
        <v>52</v>
      </c>
      <c r="N35">
        <f>Table1[[#This Row],[Quantity]]*Table1[[#This Row],[Unit Price (₹)]]</f>
        <v>9350</v>
      </c>
      <c r="O35">
        <f>MAX(0,Table1[[#This Row],[Reorder Level]]-Table1[[#This Row],[Quantity]])</f>
        <v>15</v>
      </c>
      <c r="P35">
        <f>MAX(0,Table1[[#This Row],[Quantity]]-Table1[[#This Row],[Reorder Level]])</f>
        <v>0</v>
      </c>
      <c r="Q35">
        <f>Table1[[#This Row],[Above Reorder QTY]]*Table1[[#This Row],[Unit Price (₹)]]</f>
        <v>0</v>
      </c>
    </row>
    <row r="36" spans="1:17" x14ac:dyDescent="0.25">
      <c r="A36" s="3">
        <v>45690</v>
      </c>
      <c r="B36" t="s">
        <v>53</v>
      </c>
      <c r="C36" t="s">
        <v>28</v>
      </c>
      <c r="D36" t="s">
        <v>19</v>
      </c>
      <c r="E36" t="s">
        <v>35</v>
      </c>
      <c r="F36">
        <v>39</v>
      </c>
      <c r="G36">
        <v>20</v>
      </c>
      <c r="H36" t="s">
        <v>21</v>
      </c>
      <c r="I36">
        <v>120</v>
      </c>
      <c r="J36">
        <v>1378.79</v>
      </c>
      <c r="K36">
        <v>9</v>
      </c>
      <c r="L36">
        <v>1205.1300000000001</v>
      </c>
      <c r="M36" t="s">
        <v>52</v>
      </c>
      <c r="N36">
        <f>Table1[[#This Row],[Quantity]]*Table1[[#This Row],[Unit Price (₹)]]</f>
        <v>4680</v>
      </c>
      <c r="O36">
        <f>MAX(0,Table1[[#This Row],[Reorder Level]]-Table1[[#This Row],[Quantity]])</f>
        <v>0</v>
      </c>
      <c r="P36">
        <f>MAX(0,Table1[[#This Row],[Quantity]]-Table1[[#This Row],[Reorder Level]])</f>
        <v>19</v>
      </c>
      <c r="Q36">
        <f>Table1[[#This Row],[Above Reorder QTY]]*Table1[[#This Row],[Unit Price (₹)]]</f>
        <v>2280</v>
      </c>
    </row>
    <row r="37" spans="1:17" x14ac:dyDescent="0.25">
      <c r="A37" s="3">
        <v>45691</v>
      </c>
      <c r="B37" t="s">
        <v>27</v>
      </c>
      <c r="C37" t="s">
        <v>28</v>
      </c>
      <c r="D37" t="s">
        <v>19</v>
      </c>
      <c r="E37" t="s">
        <v>37</v>
      </c>
      <c r="F37">
        <v>211</v>
      </c>
      <c r="G37">
        <v>40</v>
      </c>
      <c r="H37" t="s">
        <v>21</v>
      </c>
      <c r="I37">
        <v>18</v>
      </c>
      <c r="J37">
        <v>702.79</v>
      </c>
      <c r="K37">
        <v>28</v>
      </c>
      <c r="L37">
        <v>560.45000000000005</v>
      </c>
      <c r="M37" t="s">
        <v>52</v>
      </c>
      <c r="N37">
        <f>Table1[[#This Row],[Quantity]]*Table1[[#This Row],[Unit Price (₹)]]</f>
        <v>3798</v>
      </c>
      <c r="O37">
        <f>MAX(0,Table1[[#This Row],[Reorder Level]]-Table1[[#This Row],[Quantity]])</f>
        <v>0</v>
      </c>
      <c r="P37">
        <f>MAX(0,Table1[[#This Row],[Quantity]]-Table1[[#This Row],[Reorder Level]])</f>
        <v>171</v>
      </c>
      <c r="Q37">
        <f>Table1[[#This Row],[Above Reorder QTY]]*Table1[[#This Row],[Unit Price (₹)]]</f>
        <v>3078</v>
      </c>
    </row>
    <row r="38" spans="1:17" x14ac:dyDescent="0.25">
      <c r="A38" s="3">
        <v>45692</v>
      </c>
      <c r="B38" t="s">
        <v>34</v>
      </c>
      <c r="C38" t="s">
        <v>18</v>
      </c>
      <c r="D38" t="s">
        <v>32</v>
      </c>
      <c r="E38" t="s">
        <v>45</v>
      </c>
      <c r="F38">
        <v>43</v>
      </c>
      <c r="G38">
        <v>11</v>
      </c>
      <c r="H38" t="s">
        <v>21</v>
      </c>
      <c r="I38">
        <v>8500</v>
      </c>
      <c r="J38">
        <v>13098.53</v>
      </c>
      <c r="K38">
        <v>5</v>
      </c>
      <c r="L38">
        <v>48341.440000000002</v>
      </c>
      <c r="M38" t="s">
        <v>52</v>
      </c>
      <c r="N38">
        <f>Table1[[#This Row],[Quantity]]*Table1[[#This Row],[Unit Price (₹)]]</f>
        <v>365500</v>
      </c>
      <c r="O38">
        <f>MAX(0,Table1[[#This Row],[Reorder Level]]-Table1[[#This Row],[Quantity]])</f>
        <v>0</v>
      </c>
      <c r="P38">
        <f>MAX(0,Table1[[#This Row],[Quantity]]-Table1[[#This Row],[Reorder Level]])</f>
        <v>32</v>
      </c>
      <c r="Q38">
        <f>Table1[[#This Row],[Above Reorder QTY]]*Table1[[#This Row],[Unit Price (₹)]]</f>
        <v>272000</v>
      </c>
    </row>
    <row r="39" spans="1:17" x14ac:dyDescent="0.25">
      <c r="A39" s="3">
        <v>45693</v>
      </c>
      <c r="B39" t="s">
        <v>30</v>
      </c>
      <c r="C39" t="s">
        <v>31</v>
      </c>
      <c r="D39" t="s">
        <v>42</v>
      </c>
      <c r="E39" t="s">
        <v>35</v>
      </c>
      <c r="F39">
        <v>74</v>
      </c>
      <c r="G39">
        <v>26</v>
      </c>
      <c r="H39" t="s">
        <v>21</v>
      </c>
      <c r="I39">
        <v>1100</v>
      </c>
      <c r="J39">
        <v>22040.12</v>
      </c>
      <c r="K39">
        <v>15</v>
      </c>
      <c r="L39">
        <v>18706.830000000002</v>
      </c>
      <c r="M39" t="s">
        <v>52</v>
      </c>
      <c r="N39">
        <f>Table1[[#This Row],[Quantity]]*Table1[[#This Row],[Unit Price (₹)]]</f>
        <v>81400</v>
      </c>
      <c r="O39">
        <f>MAX(0,Table1[[#This Row],[Reorder Level]]-Table1[[#This Row],[Quantity]])</f>
        <v>0</v>
      </c>
      <c r="P39">
        <f>MAX(0,Table1[[#This Row],[Quantity]]-Table1[[#This Row],[Reorder Level]])</f>
        <v>48</v>
      </c>
      <c r="Q39">
        <f>Table1[[#This Row],[Above Reorder QTY]]*Table1[[#This Row],[Unit Price (₹)]]</f>
        <v>52800</v>
      </c>
    </row>
    <row r="40" spans="1:17" x14ac:dyDescent="0.25">
      <c r="A40" s="3">
        <v>45694</v>
      </c>
      <c r="B40" t="s">
        <v>46</v>
      </c>
      <c r="C40" t="s">
        <v>18</v>
      </c>
      <c r="D40" t="s">
        <v>42</v>
      </c>
      <c r="E40" t="s">
        <v>33</v>
      </c>
      <c r="F40">
        <v>206</v>
      </c>
      <c r="G40">
        <v>46</v>
      </c>
      <c r="H40" t="s">
        <v>21</v>
      </c>
      <c r="I40">
        <v>6000</v>
      </c>
      <c r="J40">
        <v>172195.62</v>
      </c>
      <c r="K40">
        <v>15</v>
      </c>
      <c r="L40">
        <v>95423.72</v>
      </c>
      <c r="M40" t="s">
        <v>52</v>
      </c>
      <c r="N40">
        <f>Table1[[#This Row],[Quantity]]*Table1[[#This Row],[Unit Price (₹)]]</f>
        <v>1236000</v>
      </c>
      <c r="O40">
        <f>MAX(0,Table1[[#This Row],[Reorder Level]]-Table1[[#This Row],[Quantity]])</f>
        <v>0</v>
      </c>
      <c r="P40">
        <f>MAX(0,Table1[[#This Row],[Quantity]]-Table1[[#This Row],[Reorder Level]])</f>
        <v>160</v>
      </c>
      <c r="Q40">
        <f>Table1[[#This Row],[Above Reorder QTY]]*Table1[[#This Row],[Unit Price (₹)]]</f>
        <v>960000</v>
      </c>
    </row>
    <row r="41" spans="1:17" x14ac:dyDescent="0.25">
      <c r="A41" s="3">
        <v>45695</v>
      </c>
      <c r="B41" t="s">
        <v>39</v>
      </c>
      <c r="C41" t="s">
        <v>31</v>
      </c>
      <c r="D41" t="s">
        <v>41</v>
      </c>
      <c r="E41" t="s">
        <v>20</v>
      </c>
      <c r="F41">
        <v>188</v>
      </c>
      <c r="G41">
        <v>27</v>
      </c>
      <c r="H41" t="s">
        <v>21</v>
      </c>
      <c r="I41">
        <v>650</v>
      </c>
      <c r="J41">
        <v>10091.09</v>
      </c>
      <c r="K41">
        <v>42</v>
      </c>
      <c r="L41">
        <v>27460.78</v>
      </c>
      <c r="M41" t="s">
        <v>52</v>
      </c>
      <c r="N41">
        <f>Table1[[#This Row],[Quantity]]*Table1[[#This Row],[Unit Price (₹)]]</f>
        <v>122200</v>
      </c>
      <c r="O41">
        <f>MAX(0,Table1[[#This Row],[Reorder Level]]-Table1[[#This Row],[Quantity]])</f>
        <v>0</v>
      </c>
      <c r="P41">
        <f>MAX(0,Table1[[#This Row],[Quantity]]-Table1[[#This Row],[Reorder Level]])</f>
        <v>161</v>
      </c>
      <c r="Q41">
        <f>Table1[[#This Row],[Above Reorder QTY]]*Table1[[#This Row],[Unit Price (₹)]]</f>
        <v>104650</v>
      </c>
    </row>
    <row r="42" spans="1:17" x14ac:dyDescent="0.25">
      <c r="A42" s="3">
        <v>45696</v>
      </c>
      <c r="B42" t="s">
        <v>51</v>
      </c>
      <c r="C42" t="s">
        <v>18</v>
      </c>
      <c r="D42" t="s">
        <v>25</v>
      </c>
      <c r="E42" t="s">
        <v>20</v>
      </c>
      <c r="F42">
        <v>27</v>
      </c>
      <c r="G42">
        <v>34</v>
      </c>
      <c r="H42" t="s">
        <v>47</v>
      </c>
      <c r="I42">
        <v>450</v>
      </c>
      <c r="J42">
        <v>1695.08</v>
      </c>
      <c r="K42">
        <v>4</v>
      </c>
      <c r="L42">
        <v>2014.97</v>
      </c>
      <c r="M42" t="s">
        <v>52</v>
      </c>
      <c r="N42">
        <f>Table1[[#This Row],[Quantity]]*Table1[[#This Row],[Unit Price (₹)]]</f>
        <v>12150</v>
      </c>
      <c r="O42">
        <f>MAX(0,Table1[[#This Row],[Reorder Level]]-Table1[[#This Row],[Quantity]])</f>
        <v>7</v>
      </c>
      <c r="P42">
        <f>MAX(0,Table1[[#This Row],[Quantity]]-Table1[[#This Row],[Reorder Level]])</f>
        <v>0</v>
      </c>
      <c r="Q42">
        <f>Table1[[#This Row],[Above Reorder QTY]]*Table1[[#This Row],[Unit Price (₹)]]</f>
        <v>0</v>
      </c>
    </row>
    <row r="43" spans="1:17" x14ac:dyDescent="0.25">
      <c r="A43" s="3">
        <v>45697</v>
      </c>
      <c r="B43" t="s">
        <v>46</v>
      </c>
      <c r="C43" t="s">
        <v>18</v>
      </c>
      <c r="D43" t="s">
        <v>32</v>
      </c>
      <c r="E43" t="s">
        <v>29</v>
      </c>
      <c r="F43">
        <v>190</v>
      </c>
      <c r="G43">
        <v>34</v>
      </c>
      <c r="H43" t="s">
        <v>21</v>
      </c>
      <c r="I43">
        <v>6000</v>
      </c>
      <c r="J43">
        <v>149453.78</v>
      </c>
      <c r="K43">
        <v>39</v>
      </c>
      <c r="L43">
        <v>229923.84</v>
      </c>
      <c r="M43" t="s">
        <v>52</v>
      </c>
      <c r="N43">
        <f>Table1[[#This Row],[Quantity]]*Table1[[#This Row],[Unit Price (₹)]]</f>
        <v>1140000</v>
      </c>
      <c r="O43">
        <f>MAX(0,Table1[[#This Row],[Reorder Level]]-Table1[[#This Row],[Quantity]])</f>
        <v>0</v>
      </c>
      <c r="P43">
        <f>MAX(0,Table1[[#This Row],[Quantity]]-Table1[[#This Row],[Reorder Level]])</f>
        <v>156</v>
      </c>
      <c r="Q43">
        <f>Table1[[#This Row],[Above Reorder QTY]]*Table1[[#This Row],[Unit Price (₹)]]</f>
        <v>936000</v>
      </c>
    </row>
    <row r="44" spans="1:17" x14ac:dyDescent="0.25">
      <c r="A44" s="3">
        <v>45698</v>
      </c>
      <c r="B44" t="s">
        <v>43</v>
      </c>
      <c r="C44" t="s">
        <v>24</v>
      </c>
      <c r="D44" t="s">
        <v>25</v>
      </c>
      <c r="E44" t="s">
        <v>45</v>
      </c>
      <c r="F44">
        <v>244</v>
      </c>
      <c r="G44">
        <v>30</v>
      </c>
      <c r="H44" t="s">
        <v>21</v>
      </c>
      <c r="I44">
        <v>2200</v>
      </c>
      <c r="J44">
        <v>123432.81</v>
      </c>
      <c r="K44">
        <v>55</v>
      </c>
      <c r="L44">
        <v>116151.8</v>
      </c>
      <c r="M44" t="s">
        <v>52</v>
      </c>
      <c r="N44">
        <f>Table1[[#This Row],[Quantity]]*Table1[[#This Row],[Unit Price (₹)]]</f>
        <v>536800</v>
      </c>
      <c r="O44">
        <f>MAX(0,Table1[[#This Row],[Reorder Level]]-Table1[[#This Row],[Quantity]])</f>
        <v>0</v>
      </c>
      <c r="P44">
        <f>MAX(0,Table1[[#This Row],[Quantity]]-Table1[[#This Row],[Reorder Level]])</f>
        <v>214</v>
      </c>
      <c r="Q44">
        <f>Table1[[#This Row],[Above Reorder QTY]]*Table1[[#This Row],[Unit Price (₹)]]</f>
        <v>470800</v>
      </c>
    </row>
    <row r="45" spans="1:17" x14ac:dyDescent="0.25">
      <c r="A45" s="3">
        <v>45699</v>
      </c>
      <c r="B45" t="s">
        <v>54</v>
      </c>
      <c r="C45" t="s">
        <v>50</v>
      </c>
      <c r="D45" t="s">
        <v>19</v>
      </c>
      <c r="E45" t="s">
        <v>29</v>
      </c>
      <c r="F45">
        <v>219</v>
      </c>
      <c r="G45">
        <v>28</v>
      </c>
      <c r="H45" t="s">
        <v>21</v>
      </c>
      <c r="I45">
        <v>1500</v>
      </c>
      <c r="J45">
        <v>50387.24</v>
      </c>
      <c r="K45">
        <v>49</v>
      </c>
      <c r="L45">
        <v>75669.919999999998</v>
      </c>
      <c r="M45" t="s">
        <v>52</v>
      </c>
      <c r="N45">
        <f>Table1[[#This Row],[Quantity]]*Table1[[#This Row],[Unit Price (₹)]]</f>
        <v>328500</v>
      </c>
      <c r="O45">
        <f>MAX(0,Table1[[#This Row],[Reorder Level]]-Table1[[#This Row],[Quantity]])</f>
        <v>0</v>
      </c>
      <c r="P45">
        <f>MAX(0,Table1[[#This Row],[Quantity]]-Table1[[#This Row],[Reorder Level]])</f>
        <v>191</v>
      </c>
      <c r="Q45">
        <f>Table1[[#This Row],[Above Reorder QTY]]*Table1[[#This Row],[Unit Price (₹)]]</f>
        <v>286500</v>
      </c>
    </row>
    <row r="46" spans="1:17" x14ac:dyDescent="0.25">
      <c r="A46" s="3">
        <v>45700</v>
      </c>
      <c r="B46" t="s">
        <v>27</v>
      </c>
      <c r="C46" t="s">
        <v>28</v>
      </c>
      <c r="D46" t="s">
        <v>19</v>
      </c>
      <c r="E46" t="s">
        <v>33</v>
      </c>
      <c r="F46">
        <v>225</v>
      </c>
      <c r="G46">
        <v>33</v>
      </c>
      <c r="H46" t="s">
        <v>21</v>
      </c>
      <c r="I46">
        <v>18</v>
      </c>
      <c r="J46">
        <v>391.07</v>
      </c>
      <c r="K46">
        <v>4</v>
      </c>
      <c r="L46">
        <v>71.59</v>
      </c>
      <c r="M46" t="s">
        <v>52</v>
      </c>
      <c r="N46">
        <f>Table1[[#This Row],[Quantity]]*Table1[[#This Row],[Unit Price (₹)]]</f>
        <v>4050</v>
      </c>
      <c r="O46">
        <f>MAX(0,Table1[[#This Row],[Reorder Level]]-Table1[[#This Row],[Quantity]])</f>
        <v>0</v>
      </c>
      <c r="P46">
        <f>MAX(0,Table1[[#This Row],[Quantity]]-Table1[[#This Row],[Reorder Level]])</f>
        <v>192</v>
      </c>
      <c r="Q46">
        <f>Table1[[#This Row],[Above Reorder QTY]]*Table1[[#This Row],[Unit Price (₹)]]</f>
        <v>3456</v>
      </c>
    </row>
    <row r="47" spans="1:17" x14ac:dyDescent="0.25">
      <c r="A47" s="3">
        <v>45701</v>
      </c>
      <c r="B47" t="s">
        <v>51</v>
      </c>
      <c r="C47" t="s">
        <v>18</v>
      </c>
      <c r="D47" t="s">
        <v>19</v>
      </c>
      <c r="E47" t="s">
        <v>26</v>
      </c>
      <c r="F47">
        <v>47</v>
      </c>
      <c r="G47">
        <v>32</v>
      </c>
      <c r="H47" t="s">
        <v>55</v>
      </c>
      <c r="I47">
        <v>450</v>
      </c>
      <c r="J47">
        <v>6274.84</v>
      </c>
      <c r="K47">
        <v>5</v>
      </c>
      <c r="L47">
        <v>2247.06</v>
      </c>
      <c r="M47" t="s">
        <v>52</v>
      </c>
      <c r="N47">
        <f>Table1[[#This Row],[Quantity]]*Table1[[#This Row],[Unit Price (₹)]]</f>
        <v>21150</v>
      </c>
      <c r="O47">
        <f>MAX(0,Table1[[#This Row],[Reorder Level]]-Table1[[#This Row],[Quantity]])</f>
        <v>0</v>
      </c>
      <c r="P47">
        <f>MAX(0,Table1[[#This Row],[Quantity]]-Table1[[#This Row],[Reorder Level]])</f>
        <v>15</v>
      </c>
      <c r="Q47">
        <f>Table1[[#This Row],[Above Reorder QTY]]*Table1[[#This Row],[Unit Price (₹)]]</f>
        <v>6750</v>
      </c>
    </row>
    <row r="48" spans="1:17" x14ac:dyDescent="0.25">
      <c r="A48" s="3">
        <v>45702</v>
      </c>
      <c r="B48" t="s">
        <v>43</v>
      </c>
      <c r="C48" t="s">
        <v>24</v>
      </c>
      <c r="D48" t="s">
        <v>19</v>
      </c>
      <c r="E48" t="s">
        <v>26</v>
      </c>
      <c r="F48">
        <v>233</v>
      </c>
      <c r="G48">
        <v>29</v>
      </c>
      <c r="H48" t="s">
        <v>21</v>
      </c>
      <c r="I48">
        <v>2200</v>
      </c>
      <c r="J48">
        <v>70447.3</v>
      </c>
      <c r="K48">
        <v>28</v>
      </c>
      <c r="L48">
        <v>66823.600000000006</v>
      </c>
      <c r="M48" t="s">
        <v>52</v>
      </c>
      <c r="N48">
        <f>Table1[[#This Row],[Quantity]]*Table1[[#This Row],[Unit Price (₹)]]</f>
        <v>512600</v>
      </c>
      <c r="O48">
        <f>MAX(0,Table1[[#This Row],[Reorder Level]]-Table1[[#This Row],[Quantity]])</f>
        <v>0</v>
      </c>
      <c r="P48">
        <f>MAX(0,Table1[[#This Row],[Quantity]]-Table1[[#This Row],[Reorder Level]])</f>
        <v>204</v>
      </c>
      <c r="Q48">
        <f>Table1[[#This Row],[Above Reorder QTY]]*Table1[[#This Row],[Unit Price (₹)]]</f>
        <v>448800</v>
      </c>
    </row>
    <row r="49" spans="1:17" x14ac:dyDescent="0.25">
      <c r="A49" s="3">
        <v>45703</v>
      </c>
      <c r="B49" t="s">
        <v>39</v>
      </c>
      <c r="C49" t="s">
        <v>31</v>
      </c>
      <c r="D49" t="s">
        <v>32</v>
      </c>
      <c r="E49" t="s">
        <v>37</v>
      </c>
      <c r="F49">
        <v>228</v>
      </c>
      <c r="G49">
        <v>30</v>
      </c>
      <c r="H49" t="s">
        <v>21</v>
      </c>
      <c r="I49">
        <v>650</v>
      </c>
      <c r="J49">
        <v>41703</v>
      </c>
      <c r="K49">
        <v>13</v>
      </c>
      <c r="L49">
        <v>8689.75</v>
      </c>
      <c r="M49" t="s">
        <v>52</v>
      </c>
      <c r="N49">
        <f>Table1[[#This Row],[Quantity]]*Table1[[#This Row],[Unit Price (₹)]]</f>
        <v>148200</v>
      </c>
      <c r="O49">
        <f>MAX(0,Table1[[#This Row],[Reorder Level]]-Table1[[#This Row],[Quantity]])</f>
        <v>0</v>
      </c>
      <c r="P49">
        <f>MAX(0,Table1[[#This Row],[Quantity]]-Table1[[#This Row],[Reorder Level]])</f>
        <v>198</v>
      </c>
      <c r="Q49">
        <f>Table1[[#This Row],[Above Reorder QTY]]*Table1[[#This Row],[Unit Price (₹)]]</f>
        <v>128700</v>
      </c>
    </row>
    <row r="50" spans="1:17" x14ac:dyDescent="0.25">
      <c r="A50" s="3">
        <v>45704</v>
      </c>
      <c r="B50" t="s">
        <v>54</v>
      </c>
      <c r="C50" t="s">
        <v>50</v>
      </c>
      <c r="D50" t="s">
        <v>25</v>
      </c>
      <c r="E50" t="s">
        <v>45</v>
      </c>
      <c r="F50">
        <v>111</v>
      </c>
      <c r="G50">
        <v>17</v>
      </c>
      <c r="H50" t="s">
        <v>21</v>
      </c>
      <c r="I50">
        <v>1500</v>
      </c>
      <c r="J50">
        <v>2749.47</v>
      </c>
      <c r="K50">
        <v>24</v>
      </c>
      <c r="L50">
        <v>35728.85</v>
      </c>
      <c r="M50" t="s">
        <v>52</v>
      </c>
      <c r="N50">
        <f>Table1[[#This Row],[Quantity]]*Table1[[#This Row],[Unit Price (₹)]]</f>
        <v>166500</v>
      </c>
      <c r="O50">
        <f>MAX(0,Table1[[#This Row],[Reorder Level]]-Table1[[#This Row],[Quantity]])</f>
        <v>0</v>
      </c>
      <c r="P50">
        <f>MAX(0,Table1[[#This Row],[Quantity]]-Table1[[#This Row],[Reorder Level]])</f>
        <v>94</v>
      </c>
      <c r="Q50">
        <f>Table1[[#This Row],[Above Reorder QTY]]*Table1[[#This Row],[Unit Price (₹)]]</f>
        <v>141000</v>
      </c>
    </row>
    <row r="51" spans="1:17" x14ac:dyDescent="0.25">
      <c r="A51" s="3">
        <v>45705</v>
      </c>
      <c r="B51" t="s">
        <v>56</v>
      </c>
      <c r="C51" t="s">
        <v>28</v>
      </c>
      <c r="D51" t="s">
        <v>42</v>
      </c>
      <c r="E51" t="s">
        <v>45</v>
      </c>
      <c r="F51">
        <v>49</v>
      </c>
      <c r="G51">
        <v>10</v>
      </c>
      <c r="H51" t="s">
        <v>21</v>
      </c>
      <c r="I51">
        <v>1200</v>
      </c>
      <c r="J51">
        <v>3212.17</v>
      </c>
      <c r="K51">
        <v>1</v>
      </c>
      <c r="L51">
        <v>1329.64</v>
      </c>
      <c r="M51" t="s">
        <v>52</v>
      </c>
      <c r="N51">
        <f>Table1[[#This Row],[Quantity]]*Table1[[#This Row],[Unit Price (₹)]]</f>
        <v>58800</v>
      </c>
      <c r="O51">
        <f>MAX(0,Table1[[#This Row],[Reorder Level]]-Table1[[#This Row],[Quantity]])</f>
        <v>0</v>
      </c>
      <c r="P51">
        <f>MAX(0,Table1[[#This Row],[Quantity]]-Table1[[#This Row],[Reorder Level]])</f>
        <v>39</v>
      </c>
      <c r="Q51">
        <f>Table1[[#This Row],[Above Reorder QTY]]*Table1[[#This Row],[Unit Price (₹)]]</f>
        <v>46800</v>
      </c>
    </row>
    <row r="52" spans="1:17" x14ac:dyDescent="0.25">
      <c r="A52" s="3">
        <v>45706</v>
      </c>
      <c r="B52" t="s">
        <v>39</v>
      </c>
      <c r="C52" t="s">
        <v>31</v>
      </c>
      <c r="D52" t="s">
        <v>19</v>
      </c>
      <c r="E52" t="s">
        <v>45</v>
      </c>
      <c r="F52">
        <v>93</v>
      </c>
      <c r="G52">
        <v>32</v>
      </c>
      <c r="H52" t="s">
        <v>21</v>
      </c>
      <c r="I52">
        <v>650</v>
      </c>
      <c r="J52">
        <v>5025.7299999999996</v>
      </c>
      <c r="K52">
        <v>13</v>
      </c>
      <c r="L52">
        <v>8377.42</v>
      </c>
      <c r="M52" t="s">
        <v>52</v>
      </c>
      <c r="N52">
        <f>Table1[[#This Row],[Quantity]]*Table1[[#This Row],[Unit Price (₹)]]</f>
        <v>60450</v>
      </c>
      <c r="O52">
        <f>MAX(0,Table1[[#This Row],[Reorder Level]]-Table1[[#This Row],[Quantity]])</f>
        <v>0</v>
      </c>
      <c r="P52">
        <f>MAX(0,Table1[[#This Row],[Quantity]]-Table1[[#This Row],[Reorder Level]])</f>
        <v>61</v>
      </c>
      <c r="Q52">
        <f>Table1[[#This Row],[Above Reorder QTY]]*Table1[[#This Row],[Unit Price (₹)]]</f>
        <v>39650</v>
      </c>
    </row>
    <row r="53" spans="1:17" x14ac:dyDescent="0.25">
      <c r="A53" s="3">
        <v>45707</v>
      </c>
      <c r="B53" t="s">
        <v>57</v>
      </c>
      <c r="C53" t="s">
        <v>24</v>
      </c>
      <c r="D53" t="s">
        <v>32</v>
      </c>
      <c r="E53" t="s">
        <v>20</v>
      </c>
      <c r="F53">
        <v>72</v>
      </c>
      <c r="G53">
        <v>44</v>
      </c>
      <c r="H53" t="s">
        <v>21</v>
      </c>
      <c r="I53">
        <v>1200</v>
      </c>
      <c r="J53">
        <v>17021.27</v>
      </c>
      <c r="K53">
        <v>6</v>
      </c>
      <c r="L53">
        <v>7981.34</v>
      </c>
      <c r="M53" t="s">
        <v>52</v>
      </c>
      <c r="N53">
        <f>Table1[[#This Row],[Quantity]]*Table1[[#This Row],[Unit Price (₹)]]</f>
        <v>86400</v>
      </c>
      <c r="O53">
        <f>MAX(0,Table1[[#This Row],[Reorder Level]]-Table1[[#This Row],[Quantity]])</f>
        <v>0</v>
      </c>
      <c r="P53">
        <f>MAX(0,Table1[[#This Row],[Quantity]]-Table1[[#This Row],[Reorder Level]])</f>
        <v>28</v>
      </c>
      <c r="Q53">
        <f>Table1[[#This Row],[Above Reorder QTY]]*Table1[[#This Row],[Unit Price (₹)]]</f>
        <v>33600</v>
      </c>
    </row>
    <row r="54" spans="1:17" x14ac:dyDescent="0.25">
      <c r="A54" s="3">
        <v>45708</v>
      </c>
      <c r="B54" t="s">
        <v>56</v>
      </c>
      <c r="C54" t="s">
        <v>28</v>
      </c>
      <c r="D54" t="s">
        <v>19</v>
      </c>
      <c r="E54" t="s">
        <v>45</v>
      </c>
      <c r="F54">
        <v>123</v>
      </c>
      <c r="G54">
        <v>11</v>
      </c>
      <c r="H54" t="s">
        <v>21</v>
      </c>
      <c r="I54">
        <v>1200</v>
      </c>
      <c r="J54">
        <v>20155.349999999999</v>
      </c>
      <c r="K54">
        <v>20</v>
      </c>
      <c r="L54">
        <v>25047.98</v>
      </c>
      <c r="M54" t="s">
        <v>52</v>
      </c>
      <c r="N54">
        <f>Table1[[#This Row],[Quantity]]*Table1[[#This Row],[Unit Price (₹)]]</f>
        <v>147600</v>
      </c>
      <c r="O54">
        <f>MAX(0,Table1[[#This Row],[Reorder Level]]-Table1[[#This Row],[Quantity]])</f>
        <v>0</v>
      </c>
      <c r="P54">
        <f>MAX(0,Table1[[#This Row],[Quantity]]-Table1[[#This Row],[Reorder Level]])</f>
        <v>112</v>
      </c>
      <c r="Q54">
        <f>Table1[[#This Row],[Above Reorder QTY]]*Table1[[#This Row],[Unit Price (₹)]]</f>
        <v>134400</v>
      </c>
    </row>
    <row r="55" spans="1:17" x14ac:dyDescent="0.25">
      <c r="A55" s="3">
        <v>45709</v>
      </c>
      <c r="B55" t="s">
        <v>53</v>
      </c>
      <c r="C55" t="s">
        <v>28</v>
      </c>
      <c r="D55" t="s">
        <v>19</v>
      </c>
      <c r="E55" t="s">
        <v>29</v>
      </c>
      <c r="F55">
        <v>231</v>
      </c>
      <c r="G55">
        <v>25</v>
      </c>
      <c r="H55" t="s">
        <v>21</v>
      </c>
      <c r="I55">
        <v>120</v>
      </c>
      <c r="J55">
        <v>5302.86</v>
      </c>
      <c r="K55">
        <v>38</v>
      </c>
      <c r="L55">
        <v>5039.6000000000004</v>
      </c>
      <c r="M55" t="s">
        <v>52</v>
      </c>
      <c r="N55">
        <f>Table1[[#This Row],[Quantity]]*Table1[[#This Row],[Unit Price (₹)]]</f>
        <v>27720</v>
      </c>
      <c r="O55">
        <f>MAX(0,Table1[[#This Row],[Reorder Level]]-Table1[[#This Row],[Quantity]])</f>
        <v>0</v>
      </c>
      <c r="P55">
        <f>MAX(0,Table1[[#This Row],[Quantity]]-Table1[[#This Row],[Reorder Level]])</f>
        <v>206</v>
      </c>
      <c r="Q55">
        <f>Table1[[#This Row],[Above Reorder QTY]]*Table1[[#This Row],[Unit Price (₹)]]</f>
        <v>24720</v>
      </c>
    </row>
    <row r="56" spans="1:17" x14ac:dyDescent="0.25">
      <c r="A56" s="3">
        <v>45710</v>
      </c>
      <c r="B56" t="s">
        <v>30</v>
      </c>
      <c r="C56" t="s">
        <v>31</v>
      </c>
      <c r="D56" t="s">
        <v>19</v>
      </c>
      <c r="E56" t="s">
        <v>29</v>
      </c>
      <c r="F56">
        <v>169</v>
      </c>
      <c r="G56">
        <v>30</v>
      </c>
      <c r="H56" t="s">
        <v>21</v>
      </c>
      <c r="I56">
        <v>1100</v>
      </c>
      <c r="J56">
        <v>48295.42</v>
      </c>
      <c r="K56">
        <v>19</v>
      </c>
      <c r="L56">
        <v>20805.87</v>
      </c>
      <c r="M56" t="s">
        <v>52</v>
      </c>
      <c r="N56">
        <f>Table1[[#This Row],[Quantity]]*Table1[[#This Row],[Unit Price (₹)]]</f>
        <v>185900</v>
      </c>
      <c r="O56">
        <f>MAX(0,Table1[[#This Row],[Reorder Level]]-Table1[[#This Row],[Quantity]])</f>
        <v>0</v>
      </c>
      <c r="P56">
        <f>MAX(0,Table1[[#This Row],[Quantity]]-Table1[[#This Row],[Reorder Level]])</f>
        <v>139</v>
      </c>
      <c r="Q56">
        <f>Table1[[#This Row],[Above Reorder QTY]]*Table1[[#This Row],[Unit Price (₹)]]</f>
        <v>152900</v>
      </c>
    </row>
    <row r="57" spans="1:17" x14ac:dyDescent="0.25">
      <c r="A57" s="3">
        <v>45711</v>
      </c>
      <c r="B57" t="s">
        <v>17</v>
      </c>
      <c r="C57" t="s">
        <v>18</v>
      </c>
      <c r="D57" t="s">
        <v>41</v>
      </c>
      <c r="E57" t="s">
        <v>26</v>
      </c>
      <c r="F57">
        <v>16</v>
      </c>
      <c r="G57">
        <v>31</v>
      </c>
      <c r="H57" t="s">
        <v>55</v>
      </c>
      <c r="I57">
        <v>250</v>
      </c>
      <c r="J57">
        <v>826.72</v>
      </c>
      <c r="K57">
        <v>1</v>
      </c>
      <c r="L57">
        <v>240.78</v>
      </c>
      <c r="M57" t="s">
        <v>52</v>
      </c>
      <c r="N57">
        <f>Table1[[#This Row],[Quantity]]*Table1[[#This Row],[Unit Price (₹)]]</f>
        <v>4000</v>
      </c>
      <c r="O57">
        <f>MAX(0,Table1[[#This Row],[Reorder Level]]-Table1[[#This Row],[Quantity]])</f>
        <v>15</v>
      </c>
      <c r="P57">
        <f>MAX(0,Table1[[#This Row],[Quantity]]-Table1[[#This Row],[Reorder Level]])</f>
        <v>0</v>
      </c>
      <c r="Q57">
        <f>Table1[[#This Row],[Above Reorder QTY]]*Table1[[#This Row],[Unit Price (₹)]]</f>
        <v>0</v>
      </c>
    </row>
    <row r="58" spans="1:17" x14ac:dyDescent="0.25">
      <c r="A58" s="3">
        <v>45712</v>
      </c>
      <c r="B58" t="s">
        <v>39</v>
      </c>
      <c r="C58" t="s">
        <v>31</v>
      </c>
      <c r="D58" t="s">
        <v>41</v>
      </c>
      <c r="E58" t="s">
        <v>26</v>
      </c>
      <c r="F58">
        <v>18</v>
      </c>
      <c r="G58">
        <v>23</v>
      </c>
      <c r="H58" t="s">
        <v>55</v>
      </c>
      <c r="I58">
        <v>650</v>
      </c>
      <c r="J58">
        <v>1677.26</v>
      </c>
      <c r="K58">
        <v>4</v>
      </c>
      <c r="L58">
        <v>2679.67</v>
      </c>
      <c r="M58" t="s">
        <v>52</v>
      </c>
      <c r="N58">
        <f>Table1[[#This Row],[Quantity]]*Table1[[#This Row],[Unit Price (₹)]]</f>
        <v>11700</v>
      </c>
      <c r="O58">
        <f>MAX(0,Table1[[#This Row],[Reorder Level]]-Table1[[#This Row],[Quantity]])</f>
        <v>5</v>
      </c>
      <c r="P58">
        <f>MAX(0,Table1[[#This Row],[Quantity]]-Table1[[#This Row],[Reorder Level]])</f>
        <v>0</v>
      </c>
      <c r="Q58">
        <f>Table1[[#This Row],[Above Reorder QTY]]*Table1[[#This Row],[Unit Price (₹)]]</f>
        <v>0</v>
      </c>
    </row>
    <row r="59" spans="1:17" x14ac:dyDescent="0.25">
      <c r="A59" s="3">
        <v>45713</v>
      </c>
      <c r="B59" t="s">
        <v>56</v>
      </c>
      <c r="C59" t="s">
        <v>28</v>
      </c>
      <c r="D59" t="s">
        <v>42</v>
      </c>
      <c r="E59" t="s">
        <v>20</v>
      </c>
      <c r="F59">
        <v>124</v>
      </c>
      <c r="G59">
        <v>18</v>
      </c>
      <c r="H59" t="s">
        <v>21</v>
      </c>
      <c r="I59">
        <v>1200</v>
      </c>
      <c r="J59">
        <v>13739.94</v>
      </c>
      <c r="K59">
        <v>17</v>
      </c>
      <c r="L59">
        <v>21495.11</v>
      </c>
      <c r="M59" t="s">
        <v>52</v>
      </c>
      <c r="N59">
        <f>Table1[[#This Row],[Quantity]]*Table1[[#This Row],[Unit Price (₹)]]</f>
        <v>148800</v>
      </c>
      <c r="O59">
        <f>MAX(0,Table1[[#This Row],[Reorder Level]]-Table1[[#This Row],[Quantity]])</f>
        <v>0</v>
      </c>
      <c r="P59">
        <f>MAX(0,Table1[[#This Row],[Quantity]]-Table1[[#This Row],[Reorder Level]])</f>
        <v>106</v>
      </c>
      <c r="Q59">
        <f>Table1[[#This Row],[Above Reorder QTY]]*Table1[[#This Row],[Unit Price (₹)]]</f>
        <v>127200</v>
      </c>
    </row>
    <row r="60" spans="1:17" x14ac:dyDescent="0.25">
      <c r="A60" s="3">
        <v>45714</v>
      </c>
      <c r="B60" t="s">
        <v>17</v>
      </c>
      <c r="C60" t="s">
        <v>18</v>
      </c>
      <c r="D60" t="s">
        <v>25</v>
      </c>
      <c r="E60" t="s">
        <v>45</v>
      </c>
      <c r="F60">
        <v>131</v>
      </c>
      <c r="G60">
        <v>49</v>
      </c>
      <c r="H60" t="s">
        <v>21</v>
      </c>
      <c r="I60">
        <v>250</v>
      </c>
      <c r="J60">
        <v>5571.45</v>
      </c>
      <c r="K60">
        <v>17</v>
      </c>
      <c r="L60">
        <v>4857.68</v>
      </c>
      <c r="M60" t="s">
        <v>52</v>
      </c>
      <c r="N60">
        <f>Table1[[#This Row],[Quantity]]*Table1[[#This Row],[Unit Price (₹)]]</f>
        <v>32750</v>
      </c>
      <c r="O60">
        <f>MAX(0,Table1[[#This Row],[Reorder Level]]-Table1[[#This Row],[Quantity]])</f>
        <v>0</v>
      </c>
      <c r="P60">
        <f>MAX(0,Table1[[#This Row],[Quantity]]-Table1[[#This Row],[Reorder Level]])</f>
        <v>82</v>
      </c>
      <c r="Q60">
        <f>Table1[[#This Row],[Above Reorder QTY]]*Table1[[#This Row],[Unit Price (₹)]]</f>
        <v>20500</v>
      </c>
    </row>
    <row r="61" spans="1:17" x14ac:dyDescent="0.25">
      <c r="A61" s="3">
        <v>45715</v>
      </c>
      <c r="B61" t="s">
        <v>58</v>
      </c>
      <c r="C61" t="s">
        <v>28</v>
      </c>
      <c r="D61" t="s">
        <v>25</v>
      </c>
      <c r="E61" t="s">
        <v>45</v>
      </c>
      <c r="F61">
        <v>53</v>
      </c>
      <c r="G61">
        <v>21</v>
      </c>
      <c r="H61" t="s">
        <v>21</v>
      </c>
      <c r="I61">
        <v>3000</v>
      </c>
      <c r="J61">
        <v>2467.5500000000002</v>
      </c>
      <c r="K61">
        <v>11</v>
      </c>
      <c r="L61">
        <v>31788.27</v>
      </c>
      <c r="M61" t="s">
        <v>52</v>
      </c>
      <c r="N61">
        <f>Table1[[#This Row],[Quantity]]*Table1[[#This Row],[Unit Price (₹)]]</f>
        <v>159000</v>
      </c>
      <c r="O61">
        <f>MAX(0,Table1[[#This Row],[Reorder Level]]-Table1[[#This Row],[Quantity]])</f>
        <v>0</v>
      </c>
      <c r="P61">
        <f>MAX(0,Table1[[#This Row],[Quantity]]-Table1[[#This Row],[Reorder Level]])</f>
        <v>32</v>
      </c>
      <c r="Q61">
        <f>Table1[[#This Row],[Above Reorder QTY]]*Table1[[#This Row],[Unit Price (₹)]]</f>
        <v>96000</v>
      </c>
    </row>
    <row r="62" spans="1:17" x14ac:dyDescent="0.25">
      <c r="A62" s="3">
        <v>45716</v>
      </c>
      <c r="B62" t="s">
        <v>58</v>
      </c>
      <c r="C62" t="s">
        <v>28</v>
      </c>
      <c r="D62" t="s">
        <v>44</v>
      </c>
      <c r="E62" t="s">
        <v>29</v>
      </c>
      <c r="F62">
        <v>42</v>
      </c>
      <c r="G62">
        <v>44</v>
      </c>
      <c r="H62" t="s">
        <v>55</v>
      </c>
      <c r="I62">
        <v>3000</v>
      </c>
      <c r="J62">
        <v>38980.42</v>
      </c>
      <c r="K62">
        <v>9</v>
      </c>
      <c r="L62">
        <v>28855.4</v>
      </c>
      <c r="M62" t="s">
        <v>52</v>
      </c>
      <c r="N62">
        <f>Table1[[#This Row],[Quantity]]*Table1[[#This Row],[Unit Price (₹)]]</f>
        <v>126000</v>
      </c>
      <c r="O62">
        <f>MAX(0,Table1[[#This Row],[Reorder Level]]-Table1[[#This Row],[Quantity]])</f>
        <v>2</v>
      </c>
      <c r="P62">
        <f>MAX(0,Table1[[#This Row],[Quantity]]-Table1[[#This Row],[Reorder Level]])</f>
        <v>0</v>
      </c>
      <c r="Q62">
        <f>Table1[[#This Row],[Above Reorder QTY]]*Table1[[#This Row],[Unit Price (₹)]]</f>
        <v>0</v>
      </c>
    </row>
    <row r="63" spans="1:17" x14ac:dyDescent="0.25">
      <c r="A63" s="3">
        <v>45717</v>
      </c>
      <c r="B63" t="s">
        <v>38</v>
      </c>
      <c r="C63" t="s">
        <v>18</v>
      </c>
      <c r="D63" t="s">
        <v>25</v>
      </c>
      <c r="E63" t="s">
        <v>26</v>
      </c>
      <c r="F63">
        <v>30</v>
      </c>
      <c r="G63">
        <v>49</v>
      </c>
      <c r="H63" t="s">
        <v>55</v>
      </c>
      <c r="I63">
        <v>4500</v>
      </c>
      <c r="J63">
        <v>23636.42</v>
      </c>
      <c r="K63">
        <v>1</v>
      </c>
      <c r="L63">
        <v>4476.4399999999996</v>
      </c>
      <c r="M63" t="s">
        <v>59</v>
      </c>
      <c r="N63">
        <f>Table1[[#This Row],[Quantity]]*Table1[[#This Row],[Unit Price (₹)]]</f>
        <v>135000</v>
      </c>
      <c r="O63">
        <f>MAX(0,Table1[[#This Row],[Reorder Level]]-Table1[[#This Row],[Quantity]])</f>
        <v>19</v>
      </c>
      <c r="P63">
        <f>MAX(0,Table1[[#This Row],[Quantity]]-Table1[[#This Row],[Reorder Level]])</f>
        <v>0</v>
      </c>
      <c r="Q63">
        <f>Table1[[#This Row],[Above Reorder QTY]]*Table1[[#This Row],[Unit Price (₹)]]</f>
        <v>0</v>
      </c>
    </row>
    <row r="64" spans="1:17" x14ac:dyDescent="0.25">
      <c r="A64" s="3">
        <v>45718</v>
      </c>
      <c r="B64" t="s">
        <v>49</v>
      </c>
      <c r="C64" t="s">
        <v>50</v>
      </c>
      <c r="D64" t="s">
        <v>25</v>
      </c>
      <c r="E64" t="s">
        <v>35</v>
      </c>
      <c r="F64">
        <v>105</v>
      </c>
      <c r="G64">
        <v>27</v>
      </c>
      <c r="H64" t="s">
        <v>21</v>
      </c>
      <c r="I64">
        <v>850</v>
      </c>
      <c r="J64">
        <v>11204.6</v>
      </c>
      <c r="K64">
        <v>2</v>
      </c>
      <c r="L64">
        <v>1744.52</v>
      </c>
      <c r="M64" t="s">
        <v>59</v>
      </c>
      <c r="N64">
        <f>Table1[[#This Row],[Quantity]]*Table1[[#This Row],[Unit Price (₹)]]</f>
        <v>89250</v>
      </c>
      <c r="O64">
        <f>MAX(0,Table1[[#This Row],[Reorder Level]]-Table1[[#This Row],[Quantity]])</f>
        <v>0</v>
      </c>
      <c r="P64">
        <f>MAX(0,Table1[[#This Row],[Quantity]]-Table1[[#This Row],[Reorder Level]])</f>
        <v>78</v>
      </c>
      <c r="Q64">
        <f>Table1[[#This Row],[Above Reorder QTY]]*Table1[[#This Row],[Unit Price (₹)]]</f>
        <v>66300</v>
      </c>
    </row>
    <row r="65" spans="1:17" x14ac:dyDescent="0.25">
      <c r="A65" s="3">
        <v>45719</v>
      </c>
      <c r="B65" t="s">
        <v>38</v>
      </c>
      <c r="C65" t="s">
        <v>18</v>
      </c>
      <c r="D65" t="s">
        <v>19</v>
      </c>
      <c r="E65" t="s">
        <v>26</v>
      </c>
      <c r="F65">
        <v>161</v>
      </c>
      <c r="G65">
        <v>19</v>
      </c>
      <c r="H65" t="s">
        <v>21</v>
      </c>
      <c r="I65">
        <v>4500</v>
      </c>
      <c r="J65">
        <v>45403.21</v>
      </c>
      <c r="K65">
        <v>38</v>
      </c>
      <c r="L65">
        <v>185988.99</v>
      </c>
      <c r="M65" t="s">
        <v>59</v>
      </c>
      <c r="N65">
        <f>Table1[[#This Row],[Quantity]]*Table1[[#This Row],[Unit Price (₹)]]</f>
        <v>724500</v>
      </c>
      <c r="O65">
        <f>MAX(0,Table1[[#This Row],[Reorder Level]]-Table1[[#This Row],[Quantity]])</f>
        <v>0</v>
      </c>
      <c r="P65">
        <f>MAX(0,Table1[[#This Row],[Quantity]]-Table1[[#This Row],[Reorder Level]])</f>
        <v>142</v>
      </c>
      <c r="Q65">
        <f>Table1[[#This Row],[Above Reorder QTY]]*Table1[[#This Row],[Unit Price (₹)]]</f>
        <v>639000</v>
      </c>
    </row>
    <row r="66" spans="1:17" x14ac:dyDescent="0.25">
      <c r="A66" s="3">
        <v>45720</v>
      </c>
      <c r="B66" t="s">
        <v>58</v>
      </c>
      <c r="C66" t="s">
        <v>28</v>
      </c>
      <c r="D66" t="s">
        <v>25</v>
      </c>
      <c r="E66" t="s">
        <v>35</v>
      </c>
      <c r="F66">
        <v>202</v>
      </c>
      <c r="G66">
        <v>43</v>
      </c>
      <c r="H66" t="s">
        <v>21</v>
      </c>
      <c r="I66">
        <v>3000</v>
      </c>
      <c r="J66">
        <v>37048.160000000003</v>
      </c>
      <c r="K66">
        <v>1</v>
      </c>
      <c r="L66">
        <v>3087.7</v>
      </c>
      <c r="M66" t="s">
        <v>59</v>
      </c>
      <c r="N66">
        <f>Table1[[#This Row],[Quantity]]*Table1[[#This Row],[Unit Price (₹)]]</f>
        <v>606000</v>
      </c>
      <c r="O66">
        <f>MAX(0,Table1[[#This Row],[Reorder Level]]-Table1[[#This Row],[Quantity]])</f>
        <v>0</v>
      </c>
      <c r="P66">
        <f>MAX(0,Table1[[#This Row],[Quantity]]-Table1[[#This Row],[Reorder Level]])</f>
        <v>159</v>
      </c>
      <c r="Q66">
        <f>Table1[[#This Row],[Above Reorder QTY]]*Table1[[#This Row],[Unit Price (₹)]]</f>
        <v>477000</v>
      </c>
    </row>
    <row r="67" spans="1:17" x14ac:dyDescent="0.25">
      <c r="A67" s="3">
        <v>45721</v>
      </c>
      <c r="B67" t="s">
        <v>49</v>
      </c>
      <c r="C67" t="s">
        <v>50</v>
      </c>
      <c r="D67" t="s">
        <v>42</v>
      </c>
      <c r="E67" t="s">
        <v>45</v>
      </c>
      <c r="F67">
        <v>132</v>
      </c>
      <c r="G67">
        <v>42</v>
      </c>
      <c r="H67" t="s">
        <v>21</v>
      </c>
      <c r="I67">
        <v>850</v>
      </c>
      <c r="J67">
        <v>26269.32</v>
      </c>
      <c r="K67">
        <v>20</v>
      </c>
      <c r="L67">
        <v>16445.68</v>
      </c>
      <c r="M67" t="s">
        <v>59</v>
      </c>
      <c r="N67">
        <f>Table1[[#This Row],[Quantity]]*Table1[[#This Row],[Unit Price (₹)]]</f>
        <v>112200</v>
      </c>
      <c r="O67">
        <f>MAX(0,Table1[[#This Row],[Reorder Level]]-Table1[[#This Row],[Quantity]])</f>
        <v>0</v>
      </c>
      <c r="P67">
        <f>MAX(0,Table1[[#This Row],[Quantity]]-Table1[[#This Row],[Reorder Level]])</f>
        <v>90</v>
      </c>
      <c r="Q67">
        <f>Table1[[#This Row],[Above Reorder QTY]]*Table1[[#This Row],[Unit Price (₹)]]</f>
        <v>76500</v>
      </c>
    </row>
    <row r="68" spans="1:17" x14ac:dyDescent="0.25">
      <c r="A68" s="3">
        <v>45722</v>
      </c>
      <c r="B68" t="s">
        <v>54</v>
      </c>
      <c r="C68" t="s">
        <v>50</v>
      </c>
      <c r="D68" t="s">
        <v>42</v>
      </c>
      <c r="E68" t="s">
        <v>26</v>
      </c>
      <c r="F68">
        <v>69</v>
      </c>
      <c r="G68">
        <v>17</v>
      </c>
      <c r="H68" t="s">
        <v>21</v>
      </c>
      <c r="I68">
        <v>1500</v>
      </c>
      <c r="J68">
        <v>24996.49</v>
      </c>
      <c r="K68">
        <v>17</v>
      </c>
      <c r="L68">
        <v>28420.26</v>
      </c>
      <c r="M68" t="s">
        <v>59</v>
      </c>
      <c r="N68">
        <f>Table1[[#This Row],[Quantity]]*Table1[[#This Row],[Unit Price (₹)]]</f>
        <v>103500</v>
      </c>
      <c r="O68">
        <f>MAX(0,Table1[[#This Row],[Reorder Level]]-Table1[[#This Row],[Quantity]])</f>
        <v>0</v>
      </c>
      <c r="P68">
        <f>MAX(0,Table1[[#This Row],[Quantity]]-Table1[[#This Row],[Reorder Level]])</f>
        <v>52</v>
      </c>
      <c r="Q68">
        <f>Table1[[#This Row],[Above Reorder QTY]]*Table1[[#This Row],[Unit Price (₹)]]</f>
        <v>78000</v>
      </c>
    </row>
    <row r="69" spans="1:17" x14ac:dyDescent="0.25">
      <c r="A69" s="3">
        <v>45723</v>
      </c>
      <c r="B69" t="s">
        <v>17</v>
      </c>
      <c r="C69" t="s">
        <v>18</v>
      </c>
      <c r="D69" t="s">
        <v>25</v>
      </c>
      <c r="E69" t="s">
        <v>20</v>
      </c>
      <c r="F69">
        <v>21</v>
      </c>
      <c r="G69">
        <v>16</v>
      </c>
      <c r="H69" t="s">
        <v>21</v>
      </c>
      <c r="I69">
        <v>250</v>
      </c>
      <c r="J69">
        <v>849.65</v>
      </c>
      <c r="K69">
        <v>3</v>
      </c>
      <c r="L69">
        <v>724.06</v>
      </c>
      <c r="M69" t="s">
        <v>59</v>
      </c>
      <c r="N69">
        <f>Table1[[#This Row],[Quantity]]*Table1[[#This Row],[Unit Price (₹)]]</f>
        <v>5250</v>
      </c>
      <c r="O69">
        <f>MAX(0,Table1[[#This Row],[Reorder Level]]-Table1[[#This Row],[Quantity]])</f>
        <v>0</v>
      </c>
      <c r="P69">
        <f>MAX(0,Table1[[#This Row],[Quantity]]-Table1[[#This Row],[Reorder Level]])</f>
        <v>5</v>
      </c>
      <c r="Q69">
        <f>Table1[[#This Row],[Above Reorder QTY]]*Table1[[#This Row],[Unit Price (₹)]]</f>
        <v>1250</v>
      </c>
    </row>
    <row r="70" spans="1:17" x14ac:dyDescent="0.25">
      <c r="A70" s="3">
        <v>45724</v>
      </c>
      <c r="B70" t="s">
        <v>40</v>
      </c>
      <c r="C70" t="s">
        <v>31</v>
      </c>
      <c r="D70" t="s">
        <v>41</v>
      </c>
      <c r="E70" t="s">
        <v>35</v>
      </c>
      <c r="F70">
        <v>37</v>
      </c>
      <c r="G70">
        <v>17</v>
      </c>
      <c r="H70" t="s">
        <v>21</v>
      </c>
      <c r="I70">
        <v>1400</v>
      </c>
      <c r="J70">
        <v>4468.74</v>
      </c>
      <c r="K70">
        <v>1</v>
      </c>
      <c r="L70">
        <v>1353.35</v>
      </c>
      <c r="M70" t="s">
        <v>59</v>
      </c>
      <c r="N70">
        <f>Table1[[#This Row],[Quantity]]*Table1[[#This Row],[Unit Price (₹)]]</f>
        <v>51800</v>
      </c>
      <c r="O70">
        <f>MAX(0,Table1[[#This Row],[Reorder Level]]-Table1[[#This Row],[Quantity]])</f>
        <v>0</v>
      </c>
      <c r="P70">
        <f>MAX(0,Table1[[#This Row],[Quantity]]-Table1[[#This Row],[Reorder Level]])</f>
        <v>20</v>
      </c>
      <c r="Q70">
        <f>Table1[[#This Row],[Above Reorder QTY]]*Table1[[#This Row],[Unit Price (₹)]]</f>
        <v>28000</v>
      </c>
    </row>
    <row r="71" spans="1:17" x14ac:dyDescent="0.25">
      <c r="A71" s="3">
        <v>45725</v>
      </c>
      <c r="B71" t="s">
        <v>34</v>
      </c>
      <c r="C71" t="s">
        <v>18</v>
      </c>
      <c r="D71" t="s">
        <v>19</v>
      </c>
      <c r="E71" t="s">
        <v>20</v>
      </c>
      <c r="F71">
        <v>79</v>
      </c>
      <c r="G71">
        <v>25</v>
      </c>
      <c r="H71" t="s">
        <v>21</v>
      </c>
      <c r="I71">
        <v>8500</v>
      </c>
      <c r="J71">
        <v>51043.77</v>
      </c>
      <c r="K71">
        <v>7</v>
      </c>
      <c r="L71">
        <v>63898.11</v>
      </c>
      <c r="M71" t="s">
        <v>59</v>
      </c>
      <c r="N71">
        <f>Table1[[#This Row],[Quantity]]*Table1[[#This Row],[Unit Price (₹)]]</f>
        <v>671500</v>
      </c>
      <c r="O71">
        <f>MAX(0,Table1[[#This Row],[Reorder Level]]-Table1[[#This Row],[Quantity]])</f>
        <v>0</v>
      </c>
      <c r="P71">
        <f>MAX(0,Table1[[#This Row],[Quantity]]-Table1[[#This Row],[Reorder Level]])</f>
        <v>54</v>
      </c>
      <c r="Q71">
        <f>Table1[[#This Row],[Above Reorder QTY]]*Table1[[#This Row],[Unit Price (₹)]]</f>
        <v>459000</v>
      </c>
    </row>
    <row r="72" spans="1:17" x14ac:dyDescent="0.25">
      <c r="A72" s="3">
        <v>45726</v>
      </c>
      <c r="B72" t="s">
        <v>57</v>
      </c>
      <c r="C72" t="s">
        <v>24</v>
      </c>
      <c r="D72" t="s">
        <v>19</v>
      </c>
      <c r="E72" t="s">
        <v>35</v>
      </c>
      <c r="F72">
        <v>226</v>
      </c>
      <c r="G72">
        <v>47</v>
      </c>
      <c r="H72" t="s">
        <v>21</v>
      </c>
      <c r="I72">
        <v>1200</v>
      </c>
      <c r="J72">
        <v>19967.62</v>
      </c>
      <c r="K72">
        <v>20</v>
      </c>
      <c r="L72">
        <v>24832</v>
      </c>
      <c r="M72" t="s">
        <v>59</v>
      </c>
      <c r="N72">
        <f>Table1[[#This Row],[Quantity]]*Table1[[#This Row],[Unit Price (₹)]]</f>
        <v>271200</v>
      </c>
      <c r="O72">
        <f>MAX(0,Table1[[#This Row],[Reorder Level]]-Table1[[#This Row],[Quantity]])</f>
        <v>0</v>
      </c>
      <c r="P72">
        <f>MAX(0,Table1[[#This Row],[Quantity]]-Table1[[#This Row],[Reorder Level]])</f>
        <v>179</v>
      </c>
      <c r="Q72">
        <f>Table1[[#This Row],[Above Reorder QTY]]*Table1[[#This Row],[Unit Price (₹)]]</f>
        <v>214800</v>
      </c>
    </row>
    <row r="73" spans="1:17" x14ac:dyDescent="0.25">
      <c r="A73" s="3">
        <v>45727</v>
      </c>
      <c r="B73" t="s">
        <v>43</v>
      </c>
      <c r="C73" t="s">
        <v>24</v>
      </c>
      <c r="D73" t="s">
        <v>42</v>
      </c>
      <c r="E73" t="s">
        <v>37</v>
      </c>
      <c r="F73">
        <v>28</v>
      </c>
      <c r="G73">
        <v>47</v>
      </c>
      <c r="H73" t="s">
        <v>55</v>
      </c>
      <c r="I73">
        <v>2200</v>
      </c>
      <c r="J73">
        <v>1787.65</v>
      </c>
      <c r="K73">
        <v>4</v>
      </c>
      <c r="L73">
        <v>8467.19</v>
      </c>
      <c r="M73" t="s">
        <v>59</v>
      </c>
      <c r="N73">
        <f>Table1[[#This Row],[Quantity]]*Table1[[#This Row],[Unit Price (₹)]]</f>
        <v>61600</v>
      </c>
      <c r="O73">
        <f>MAX(0,Table1[[#This Row],[Reorder Level]]-Table1[[#This Row],[Quantity]])</f>
        <v>19</v>
      </c>
      <c r="P73">
        <f>MAX(0,Table1[[#This Row],[Quantity]]-Table1[[#This Row],[Reorder Level]])</f>
        <v>0</v>
      </c>
      <c r="Q73">
        <f>Table1[[#This Row],[Above Reorder QTY]]*Table1[[#This Row],[Unit Price (₹)]]</f>
        <v>0</v>
      </c>
    </row>
    <row r="74" spans="1:17" x14ac:dyDescent="0.25">
      <c r="A74" s="3">
        <v>45728</v>
      </c>
      <c r="B74" t="s">
        <v>38</v>
      </c>
      <c r="C74" t="s">
        <v>18</v>
      </c>
      <c r="D74" t="s">
        <v>42</v>
      </c>
      <c r="E74" t="s">
        <v>26</v>
      </c>
      <c r="F74">
        <v>41</v>
      </c>
      <c r="G74">
        <v>33</v>
      </c>
      <c r="H74" t="s">
        <v>21</v>
      </c>
      <c r="I74">
        <v>4500</v>
      </c>
      <c r="J74">
        <v>12207.98</v>
      </c>
      <c r="K74">
        <v>4</v>
      </c>
      <c r="L74">
        <v>20394.5</v>
      </c>
      <c r="M74" t="s">
        <v>59</v>
      </c>
      <c r="N74">
        <f>Table1[[#This Row],[Quantity]]*Table1[[#This Row],[Unit Price (₹)]]</f>
        <v>184500</v>
      </c>
      <c r="O74">
        <f>MAX(0,Table1[[#This Row],[Reorder Level]]-Table1[[#This Row],[Quantity]])</f>
        <v>0</v>
      </c>
      <c r="P74">
        <f>MAX(0,Table1[[#This Row],[Quantity]]-Table1[[#This Row],[Reorder Level]])</f>
        <v>8</v>
      </c>
      <c r="Q74">
        <f>Table1[[#This Row],[Above Reorder QTY]]*Table1[[#This Row],[Unit Price (₹)]]</f>
        <v>36000</v>
      </c>
    </row>
    <row r="75" spans="1:17" x14ac:dyDescent="0.25">
      <c r="A75" s="3">
        <v>45729</v>
      </c>
      <c r="B75" t="s">
        <v>38</v>
      </c>
      <c r="C75" t="s">
        <v>18</v>
      </c>
      <c r="D75" t="s">
        <v>25</v>
      </c>
      <c r="E75" t="s">
        <v>33</v>
      </c>
      <c r="F75">
        <v>240</v>
      </c>
      <c r="G75">
        <v>34</v>
      </c>
      <c r="H75" t="s">
        <v>21</v>
      </c>
      <c r="I75">
        <v>4500</v>
      </c>
      <c r="J75">
        <v>214949.52</v>
      </c>
      <c r="K75">
        <v>52</v>
      </c>
      <c r="L75">
        <v>224473.86</v>
      </c>
      <c r="M75" t="s">
        <v>59</v>
      </c>
      <c r="N75">
        <f>Table1[[#This Row],[Quantity]]*Table1[[#This Row],[Unit Price (₹)]]</f>
        <v>1080000</v>
      </c>
      <c r="O75">
        <f>MAX(0,Table1[[#This Row],[Reorder Level]]-Table1[[#This Row],[Quantity]])</f>
        <v>0</v>
      </c>
      <c r="P75">
        <f>MAX(0,Table1[[#This Row],[Quantity]]-Table1[[#This Row],[Reorder Level]])</f>
        <v>206</v>
      </c>
      <c r="Q75">
        <f>Table1[[#This Row],[Above Reorder QTY]]*Table1[[#This Row],[Unit Price (₹)]]</f>
        <v>927000</v>
      </c>
    </row>
    <row r="76" spans="1:17" x14ac:dyDescent="0.25">
      <c r="A76" s="3">
        <v>45730</v>
      </c>
      <c r="B76" t="s">
        <v>27</v>
      </c>
      <c r="C76" t="s">
        <v>28</v>
      </c>
      <c r="D76" t="s">
        <v>19</v>
      </c>
      <c r="E76" t="s">
        <v>37</v>
      </c>
      <c r="F76">
        <v>104</v>
      </c>
      <c r="G76">
        <v>43</v>
      </c>
      <c r="H76" t="s">
        <v>55</v>
      </c>
      <c r="I76">
        <v>18</v>
      </c>
      <c r="J76">
        <v>544.54</v>
      </c>
      <c r="K76">
        <v>6</v>
      </c>
      <c r="L76">
        <v>104.8</v>
      </c>
      <c r="M76" t="s">
        <v>59</v>
      </c>
      <c r="N76">
        <f>Table1[[#This Row],[Quantity]]*Table1[[#This Row],[Unit Price (₹)]]</f>
        <v>1872</v>
      </c>
      <c r="O76">
        <f>MAX(0,Table1[[#This Row],[Reorder Level]]-Table1[[#This Row],[Quantity]])</f>
        <v>0</v>
      </c>
      <c r="P76">
        <f>MAX(0,Table1[[#This Row],[Quantity]]-Table1[[#This Row],[Reorder Level]])</f>
        <v>61</v>
      </c>
      <c r="Q76">
        <f>Table1[[#This Row],[Above Reorder QTY]]*Table1[[#This Row],[Unit Price (₹)]]</f>
        <v>1098</v>
      </c>
    </row>
    <row r="77" spans="1:17" x14ac:dyDescent="0.25">
      <c r="A77" s="3">
        <v>45731</v>
      </c>
      <c r="B77" t="s">
        <v>36</v>
      </c>
      <c r="C77" t="s">
        <v>24</v>
      </c>
      <c r="D77" t="s">
        <v>42</v>
      </c>
      <c r="E77" t="s">
        <v>20</v>
      </c>
      <c r="F77">
        <v>139</v>
      </c>
      <c r="G77">
        <v>16</v>
      </c>
      <c r="H77" t="s">
        <v>55</v>
      </c>
      <c r="I77">
        <v>3500</v>
      </c>
      <c r="J77">
        <v>17334.919999999998</v>
      </c>
      <c r="K77">
        <v>19</v>
      </c>
      <c r="L77">
        <v>68674.78</v>
      </c>
      <c r="M77" t="s">
        <v>59</v>
      </c>
      <c r="N77">
        <f>Table1[[#This Row],[Quantity]]*Table1[[#This Row],[Unit Price (₹)]]</f>
        <v>486500</v>
      </c>
      <c r="O77">
        <f>MAX(0,Table1[[#This Row],[Reorder Level]]-Table1[[#This Row],[Quantity]])</f>
        <v>0</v>
      </c>
      <c r="P77">
        <f>MAX(0,Table1[[#This Row],[Quantity]]-Table1[[#This Row],[Reorder Level]])</f>
        <v>123</v>
      </c>
      <c r="Q77">
        <f>Table1[[#This Row],[Above Reorder QTY]]*Table1[[#This Row],[Unit Price (₹)]]</f>
        <v>430500</v>
      </c>
    </row>
    <row r="78" spans="1:17" x14ac:dyDescent="0.25">
      <c r="A78" s="3">
        <v>45732</v>
      </c>
      <c r="B78" t="s">
        <v>54</v>
      </c>
      <c r="C78" t="s">
        <v>50</v>
      </c>
      <c r="D78" t="s">
        <v>41</v>
      </c>
      <c r="E78" t="s">
        <v>33</v>
      </c>
      <c r="F78">
        <v>27</v>
      </c>
      <c r="G78">
        <v>30</v>
      </c>
      <c r="H78" t="s">
        <v>55</v>
      </c>
      <c r="I78">
        <v>1500</v>
      </c>
      <c r="J78">
        <v>4871.68</v>
      </c>
      <c r="K78">
        <v>1</v>
      </c>
      <c r="L78">
        <v>1682.63</v>
      </c>
      <c r="M78" t="s">
        <v>59</v>
      </c>
      <c r="N78">
        <f>Table1[[#This Row],[Quantity]]*Table1[[#This Row],[Unit Price (₹)]]</f>
        <v>40500</v>
      </c>
      <c r="O78">
        <f>MAX(0,Table1[[#This Row],[Reorder Level]]-Table1[[#This Row],[Quantity]])</f>
        <v>3</v>
      </c>
      <c r="P78">
        <f>MAX(0,Table1[[#This Row],[Quantity]]-Table1[[#This Row],[Reorder Level]])</f>
        <v>0</v>
      </c>
      <c r="Q78">
        <f>Table1[[#This Row],[Above Reorder QTY]]*Table1[[#This Row],[Unit Price (₹)]]</f>
        <v>0</v>
      </c>
    </row>
    <row r="79" spans="1:17" x14ac:dyDescent="0.25">
      <c r="A79" s="3">
        <v>45733</v>
      </c>
      <c r="B79" t="s">
        <v>46</v>
      </c>
      <c r="C79" t="s">
        <v>18</v>
      </c>
      <c r="D79" t="s">
        <v>19</v>
      </c>
      <c r="E79" t="s">
        <v>35</v>
      </c>
      <c r="F79">
        <v>118</v>
      </c>
      <c r="G79">
        <v>41</v>
      </c>
      <c r="H79" t="s">
        <v>55</v>
      </c>
      <c r="I79">
        <v>6000</v>
      </c>
      <c r="J79">
        <v>124993.65</v>
      </c>
      <c r="K79">
        <v>3</v>
      </c>
      <c r="L79">
        <v>19301.45</v>
      </c>
      <c r="M79" t="s">
        <v>59</v>
      </c>
      <c r="N79">
        <f>Table1[[#This Row],[Quantity]]*Table1[[#This Row],[Unit Price (₹)]]</f>
        <v>708000</v>
      </c>
      <c r="O79">
        <f>MAX(0,Table1[[#This Row],[Reorder Level]]-Table1[[#This Row],[Quantity]])</f>
        <v>0</v>
      </c>
      <c r="P79">
        <f>MAX(0,Table1[[#This Row],[Quantity]]-Table1[[#This Row],[Reorder Level]])</f>
        <v>77</v>
      </c>
      <c r="Q79">
        <f>Table1[[#This Row],[Above Reorder QTY]]*Table1[[#This Row],[Unit Price (₹)]]</f>
        <v>462000</v>
      </c>
    </row>
    <row r="80" spans="1:17" x14ac:dyDescent="0.25">
      <c r="A80" s="3">
        <v>45734</v>
      </c>
      <c r="B80" t="s">
        <v>36</v>
      </c>
      <c r="C80" t="s">
        <v>24</v>
      </c>
      <c r="D80" t="s">
        <v>19</v>
      </c>
      <c r="E80" t="s">
        <v>45</v>
      </c>
      <c r="F80">
        <v>112</v>
      </c>
      <c r="G80">
        <v>20</v>
      </c>
      <c r="H80" t="s">
        <v>55</v>
      </c>
      <c r="I80">
        <v>3500</v>
      </c>
      <c r="J80">
        <v>82828.960000000006</v>
      </c>
      <c r="K80">
        <v>9</v>
      </c>
      <c r="L80">
        <v>30624.16</v>
      </c>
      <c r="M80" t="s">
        <v>59</v>
      </c>
      <c r="N80">
        <f>Table1[[#This Row],[Quantity]]*Table1[[#This Row],[Unit Price (₹)]]</f>
        <v>392000</v>
      </c>
      <c r="O80">
        <f>MAX(0,Table1[[#This Row],[Reorder Level]]-Table1[[#This Row],[Quantity]])</f>
        <v>0</v>
      </c>
      <c r="P80">
        <f>MAX(0,Table1[[#This Row],[Quantity]]-Table1[[#This Row],[Reorder Level]])</f>
        <v>92</v>
      </c>
      <c r="Q80">
        <f>Table1[[#This Row],[Above Reorder QTY]]*Table1[[#This Row],[Unit Price (₹)]]</f>
        <v>322000</v>
      </c>
    </row>
    <row r="81" spans="1:17" x14ac:dyDescent="0.25">
      <c r="A81" s="3">
        <v>45735</v>
      </c>
      <c r="B81" t="s">
        <v>49</v>
      </c>
      <c r="C81" t="s">
        <v>50</v>
      </c>
      <c r="D81" t="s">
        <v>25</v>
      </c>
      <c r="E81" t="s">
        <v>33</v>
      </c>
      <c r="F81">
        <v>134</v>
      </c>
      <c r="G81">
        <v>41</v>
      </c>
      <c r="H81" t="s">
        <v>55</v>
      </c>
      <c r="I81">
        <v>850</v>
      </c>
      <c r="J81">
        <v>26849.58</v>
      </c>
      <c r="K81">
        <v>12</v>
      </c>
      <c r="L81">
        <v>10883.26</v>
      </c>
      <c r="M81" t="s">
        <v>59</v>
      </c>
      <c r="N81">
        <f>Table1[[#This Row],[Quantity]]*Table1[[#This Row],[Unit Price (₹)]]</f>
        <v>113900</v>
      </c>
      <c r="O81">
        <f>MAX(0,Table1[[#This Row],[Reorder Level]]-Table1[[#This Row],[Quantity]])</f>
        <v>0</v>
      </c>
      <c r="P81">
        <f>MAX(0,Table1[[#This Row],[Quantity]]-Table1[[#This Row],[Reorder Level]])</f>
        <v>93</v>
      </c>
      <c r="Q81">
        <f>Table1[[#This Row],[Above Reorder QTY]]*Table1[[#This Row],[Unit Price (₹)]]</f>
        <v>79050</v>
      </c>
    </row>
    <row r="82" spans="1:17" x14ac:dyDescent="0.25">
      <c r="A82" s="3">
        <v>45736</v>
      </c>
      <c r="B82" t="s">
        <v>36</v>
      </c>
      <c r="C82" t="s">
        <v>24</v>
      </c>
      <c r="D82" t="s">
        <v>44</v>
      </c>
      <c r="E82" t="s">
        <v>26</v>
      </c>
      <c r="F82">
        <v>203</v>
      </c>
      <c r="G82">
        <v>15</v>
      </c>
      <c r="H82" t="s">
        <v>55</v>
      </c>
      <c r="I82">
        <v>3500</v>
      </c>
      <c r="J82">
        <v>162086.07</v>
      </c>
      <c r="K82">
        <v>7</v>
      </c>
      <c r="L82">
        <v>25524.04</v>
      </c>
      <c r="M82" t="s">
        <v>59</v>
      </c>
      <c r="N82">
        <f>Table1[[#This Row],[Quantity]]*Table1[[#This Row],[Unit Price (₹)]]</f>
        <v>710500</v>
      </c>
      <c r="O82">
        <f>MAX(0,Table1[[#This Row],[Reorder Level]]-Table1[[#This Row],[Quantity]])</f>
        <v>0</v>
      </c>
      <c r="P82">
        <f>MAX(0,Table1[[#This Row],[Quantity]]-Table1[[#This Row],[Reorder Level]])</f>
        <v>188</v>
      </c>
      <c r="Q82">
        <f>Table1[[#This Row],[Above Reorder QTY]]*Table1[[#This Row],[Unit Price (₹)]]</f>
        <v>658000</v>
      </c>
    </row>
    <row r="83" spans="1:17" x14ac:dyDescent="0.25">
      <c r="A83" s="3">
        <v>45737</v>
      </c>
      <c r="B83" t="s">
        <v>46</v>
      </c>
      <c r="C83" t="s">
        <v>18</v>
      </c>
      <c r="D83" t="s">
        <v>41</v>
      </c>
      <c r="E83" t="s">
        <v>35</v>
      </c>
      <c r="F83">
        <v>52</v>
      </c>
      <c r="G83">
        <v>10</v>
      </c>
      <c r="H83" t="s">
        <v>55</v>
      </c>
      <c r="I83">
        <v>6000</v>
      </c>
      <c r="J83">
        <v>49877.55</v>
      </c>
      <c r="K83">
        <v>11</v>
      </c>
      <c r="L83">
        <v>72888.23</v>
      </c>
      <c r="M83" t="s">
        <v>59</v>
      </c>
      <c r="N83">
        <f>Table1[[#This Row],[Quantity]]*Table1[[#This Row],[Unit Price (₹)]]</f>
        <v>312000</v>
      </c>
      <c r="O83">
        <f>MAX(0,Table1[[#This Row],[Reorder Level]]-Table1[[#This Row],[Quantity]])</f>
        <v>0</v>
      </c>
      <c r="P83">
        <f>MAX(0,Table1[[#This Row],[Quantity]]-Table1[[#This Row],[Reorder Level]])</f>
        <v>42</v>
      </c>
      <c r="Q83">
        <f>Table1[[#This Row],[Above Reorder QTY]]*Table1[[#This Row],[Unit Price (₹)]]</f>
        <v>252000</v>
      </c>
    </row>
    <row r="84" spans="1:17" x14ac:dyDescent="0.25">
      <c r="A84" s="3">
        <v>45738</v>
      </c>
      <c r="B84" t="s">
        <v>56</v>
      </c>
      <c r="C84" t="s">
        <v>28</v>
      </c>
      <c r="D84" t="s">
        <v>41</v>
      </c>
      <c r="E84" t="s">
        <v>35</v>
      </c>
      <c r="F84">
        <v>76</v>
      </c>
      <c r="G84">
        <v>14</v>
      </c>
      <c r="H84" t="s">
        <v>55</v>
      </c>
      <c r="I84">
        <v>1200</v>
      </c>
      <c r="J84">
        <v>22445.5</v>
      </c>
      <c r="K84">
        <v>6</v>
      </c>
      <c r="L84">
        <v>7664.78</v>
      </c>
      <c r="M84" t="s">
        <v>59</v>
      </c>
      <c r="N84">
        <f>Table1[[#This Row],[Quantity]]*Table1[[#This Row],[Unit Price (₹)]]</f>
        <v>91200</v>
      </c>
      <c r="O84">
        <f>MAX(0,Table1[[#This Row],[Reorder Level]]-Table1[[#This Row],[Quantity]])</f>
        <v>0</v>
      </c>
      <c r="P84">
        <f>MAX(0,Table1[[#This Row],[Quantity]]-Table1[[#This Row],[Reorder Level]])</f>
        <v>62</v>
      </c>
      <c r="Q84">
        <f>Table1[[#This Row],[Above Reorder QTY]]*Table1[[#This Row],[Unit Price (₹)]]</f>
        <v>74400</v>
      </c>
    </row>
    <row r="85" spans="1:17" x14ac:dyDescent="0.25">
      <c r="A85" s="3">
        <v>45739</v>
      </c>
      <c r="B85" t="s">
        <v>36</v>
      </c>
      <c r="C85" t="s">
        <v>24</v>
      </c>
      <c r="D85" t="s">
        <v>19</v>
      </c>
      <c r="E85" t="s">
        <v>20</v>
      </c>
      <c r="F85">
        <v>157</v>
      </c>
      <c r="G85">
        <v>38</v>
      </c>
      <c r="H85" t="s">
        <v>55</v>
      </c>
      <c r="I85">
        <v>3500</v>
      </c>
      <c r="J85">
        <v>72402.3</v>
      </c>
      <c r="K85">
        <v>38</v>
      </c>
      <c r="L85">
        <v>143897.75</v>
      </c>
      <c r="M85" t="s">
        <v>59</v>
      </c>
      <c r="N85">
        <f>Table1[[#This Row],[Quantity]]*Table1[[#This Row],[Unit Price (₹)]]</f>
        <v>549500</v>
      </c>
      <c r="O85">
        <f>MAX(0,Table1[[#This Row],[Reorder Level]]-Table1[[#This Row],[Quantity]])</f>
        <v>0</v>
      </c>
      <c r="P85">
        <f>MAX(0,Table1[[#This Row],[Quantity]]-Table1[[#This Row],[Reorder Level]])</f>
        <v>119</v>
      </c>
      <c r="Q85">
        <f>Table1[[#This Row],[Above Reorder QTY]]*Table1[[#This Row],[Unit Price (₹)]]</f>
        <v>416500</v>
      </c>
    </row>
    <row r="86" spans="1:17" x14ac:dyDescent="0.25">
      <c r="A86" s="3">
        <v>45740</v>
      </c>
      <c r="B86" t="s">
        <v>27</v>
      </c>
      <c r="C86" t="s">
        <v>28</v>
      </c>
      <c r="D86" t="s">
        <v>19</v>
      </c>
      <c r="E86" t="s">
        <v>20</v>
      </c>
      <c r="F86">
        <v>40</v>
      </c>
      <c r="G86">
        <v>10</v>
      </c>
      <c r="H86" t="s">
        <v>55</v>
      </c>
      <c r="I86">
        <v>18</v>
      </c>
      <c r="J86">
        <v>153.77000000000001</v>
      </c>
      <c r="K86">
        <v>8</v>
      </c>
      <c r="L86">
        <v>156.59</v>
      </c>
      <c r="M86" t="s">
        <v>59</v>
      </c>
      <c r="N86">
        <f>Table1[[#This Row],[Quantity]]*Table1[[#This Row],[Unit Price (₹)]]</f>
        <v>720</v>
      </c>
      <c r="O86">
        <f>MAX(0,Table1[[#This Row],[Reorder Level]]-Table1[[#This Row],[Quantity]])</f>
        <v>0</v>
      </c>
      <c r="P86">
        <f>MAX(0,Table1[[#This Row],[Quantity]]-Table1[[#This Row],[Reorder Level]])</f>
        <v>30</v>
      </c>
      <c r="Q86">
        <f>Table1[[#This Row],[Above Reorder QTY]]*Table1[[#This Row],[Unit Price (₹)]]</f>
        <v>540</v>
      </c>
    </row>
    <row r="87" spans="1:17" x14ac:dyDescent="0.25">
      <c r="A87" s="3">
        <v>45741</v>
      </c>
      <c r="B87" t="s">
        <v>34</v>
      </c>
      <c r="C87" t="s">
        <v>18</v>
      </c>
      <c r="D87" t="s">
        <v>44</v>
      </c>
      <c r="E87" t="s">
        <v>33</v>
      </c>
      <c r="F87">
        <v>70</v>
      </c>
      <c r="G87">
        <v>32</v>
      </c>
      <c r="H87" t="s">
        <v>55</v>
      </c>
      <c r="I87">
        <v>8500</v>
      </c>
      <c r="J87">
        <v>156830.19</v>
      </c>
      <c r="K87">
        <v>13</v>
      </c>
      <c r="L87">
        <v>117922.57</v>
      </c>
      <c r="M87" t="s">
        <v>59</v>
      </c>
      <c r="N87">
        <f>Table1[[#This Row],[Quantity]]*Table1[[#This Row],[Unit Price (₹)]]</f>
        <v>595000</v>
      </c>
      <c r="O87">
        <f>MAX(0,Table1[[#This Row],[Reorder Level]]-Table1[[#This Row],[Quantity]])</f>
        <v>0</v>
      </c>
      <c r="P87">
        <f>MAX(0,Table1[[#This Row],[Quantity]]-Table1[[#This Row],[Reorder Level]])</f>
        <v>38</v>
      </c>
      <c r="Q87">
        <f>Table1[[#This Row],[Above Reorder QTY]]*Table1[[#This Row],[Unit Price (₹)]]</f>
        <v>323000</v>
      </c>
    </row>
    <row r="88" spans="1:17" x14ac:dyDescent="0.25">
      <c r="A88" s="3">
        <v>45742</v>
      </c>
      <c r="B88" t="s">
        <v>48</v>
      </c>
      <c r="C88" t="s">
        <v>28</v>
      </c>
      <c r="D88" t="s">
        <v>42</v>
      </c>
      <c r="E88" t="s">
        <v>26</v>
      </c>
      <c r="F88">
        <v>250</v>
      </c>
      <c r="G88">
        <v>39</v>
      </c>
      <c r="H88" t="s">
        <v>55</v>
      </c>
      <c r="I88">
        <v>45</v>
      </c>
      <c r="J88">
        <v>466.36</v>
      </c>
      <c r="K88">
        <v>16</v>
      </c>
      <c r="L88">
        <v>779.47</v>
      </c>
      <c r="M88" t="s">
        <v>59</v>
      </c>
      <c r="N88">
        <f>Table1[[#This Row],[Quantity]]*Table1[[#This Row],[Unit Price (₹)]]</f>
        <v>11250</v>
      </c>
      <c r="O88">
        <f>MAX(0,Table1[[#This Row],[Reorder Level]]-Table1[[#This Row],[Quantity]])</f>
        <v>0</v>
      </c>
      <c r="P88">
        <f>MAX(0,Table1[[#This Row],[Quantity]]-Table1[[#This Row],[Reorder Level]])</f>
        <v>211</v>
      </c>
      <c r="Q88">
        <f>Table1[[#This Row],[Above Reorder QTY]]*Table1[[#This Row],[Unit Price (₹)]]</f>
        <v>9495</v>
      </c>
    </row>
    <row r="89" spans="1:17" x14ac:dyDescent="0.25">
      <c r="A89" s="3">
        <v>45743</v>
      </c>
      <c r="B89" t="s">
        <v>38</v>
      </c>
      <c r="C89" t="s">
        <v>18</v>
      </c>
      <c r="D89" t="s">
        <v>42</v>
      </c>
      <c r="E89" t="s">
        <v>20</v>
      </c>
      <c r="F89">
        <v>194</v>
      </c>
      <c r="G89">
        <v>22</v>
      </c>
      <c r="H89" t="s">
        <v>21</v>
      </c>
      <c r="I89">
        <v>4500</v>
      </c>
      <c r="J89">
        <v>185839.24</v>
      </c>
      <c r="K89">
        <v>24</v>
      </c>
      <c r="L89">
        <v>109581.19</v>
      </c>
      <c r="M89" t="s">
        <v>59</v>
      </c>
      <c r="N89">
        <f>Table1[[#This Row],[Quantity]]*Table1[[#This Row],[Unit Price (₹)]]</f>
        <v>873000</v>
      </c>
      <c r="O89">
        <f>MAX(0,Table1[[#This Row],[Reorder Level]]-Table1[[#This Row],[Quantity]])</f>
        <v>0</v>
      </c>
      <c r="P89">
        <f>MAX(0,Table1[[#This Row],[Quantity]]-Table1[[#This Row],[Reorder Level]])</f>
        <v>172</v>
      </c>
      <c r="Q89">
        <f>Table1[[#This Row],[Above Reorder QTY]]*Table1[[#This Row],[Unit Price (₹)]]</f>
        <v>774000</v>
      </c>
    </row>
    <row r="90" spans="1:17" x14ac:dyDescent="0.25">
      <c r="A90" s="3">
        <v>45744</v>
      </c>
      <c r="B90" t="s">
        <v>30</v>
      </c>
      <c r="C90" t="s">
        <v>31</v>
      </c>
      <c r="D90" t="s">
        <v>41</v>
      </c>
      <c r="E90" t="s">
        <v>37</v>
      </c>
      <c r="F90">
        <v>45</v>
      </c>
      <c r="G90">
        <v>25</v>
      </c>
      <c r="H90" t="s">
        <v>21</v>
      </c>
      <c r="I90">
        <v>1100</v>
      </c>
      <c r="J90">
        <v>9092.19</v>
      </c>
      <c r="K90">
        <v>2</v>
      </c>
      <c r="L90">
        <v>2302.39</v>
      </c>
      <c r="M90" t="s">
        <v>59</v>
      </c>
      <c r="N90">
        <f>Table1[[#This Row],[Quantity]]*Table1[[#This Row],[Unit Price (₹)]]</f>
        <v>49500</v>
      </c>
      <c r="O90">
        <f>MAX(0,Table1[[#This Row],[Reorder Level]]-Table1[[#This Row],[Quantity]])</f>
        <v>0</v>
      </c>
      <c r="P90">
        <f>MAX(0,Table1[[#This Row],[Quantity]]-Table1[[#This Row],[Reorder Level]])</f>
        <v>20</v>
      </c>
      <c r="Q90">
        <f>Table1[[#This Row],[Above Reorder QTY]]*Table1[[#This Row],[Unit Price (₹)]]</f>
        <v>22000</v>
      </c>
    </row>
    <row r="91" spans="1:17" x14ac:dyDescent="0.25">
      <c r="A91" s="3">
        <v>45745</v>
      </c>
      <c r="B91" t="s">
        <v>48</v>
      </c>
      <c r="C91" t="s">
        <v>28</v>
      </c>
      <c r="D91" t="s">
        <v>19</v>
      </c>
      <c r="E91" t="s">
        <v>26</v>
      </c>
      <c r="F91">
        <v>185</v>
      </c>
      <c r="G91">
        <v>13</v>
      </c>
      <c r="H91" t="s">
        <v>21</v>
      </c>
      <c r="I91">
        <v>45</v>
      </c>
      <c r="J91">
        <v>2438.88</v>
      </c>
      <c r="K91">
        <v>44</v>
      </c>
      <c r="L91">
        <v>2087.1</v>
      </c>
      <c r="M91" t="s">
        <v>59</v>
      </c>
      <c r="N91">
        <f>Table1[[#This Row],[Quantity]]*Table1[[#This Row],[Unit Price (₹)]]</f>
        <v>8325</v>
      </c>
      <c r="O91">
        <f>MAX(0,Table1[[#This Row],[Reorder Level]]-Table1[[#This Row],[Quantity]])</f>
        <v>0</v>
      </c>
      <c r="P91">
        <f>MAX(0,Table1[[#This Row],[Quantity]]-Table1[[#This Row],[Reorder Level]])</f>
        <v>172</v>
      </c>
      <c r="Q91">
        <f>Table1[[#This Row],[Above Reorder QTY]]*Table1[[#This Row],[Unit Price (₹)]]</f>
        <v>7740</v>
      </c>
    </row>
    <row r="92" spans="1:17" x14ac:dyDescent="0.25">
      <c r="A92" s="3">
        <v>45746</v>
      </c>
      <c r="B92" t="s">
        <v>23</v>
      </c>
      <c r="C92" t="s">
        <v>24</v>
      </c>
      <c r="D92" t="s">
        <v>19</v>
      </c>
      <c r="E92" t="s">
        <v>33</v>
      </c>
      <c r="F92">
        <v>30</v>
      </c>
      <c r="G92">
        <v>11</v>
      </c>
      <c r="H92" t="s">
        <v>21</v>
      </c>
      <c r="I92">
        <v>2800</v>
      </c>
      <c r="J92">
        <v>20817.310000000001</v>
      </c>
      <c r="K92">
        <v>3</v>
      </c>
      <c r="L92">
        <v>9283.0300000000007</v>
      </c>
      <c r="M92" t="s">
        <v>59</v>
      </c>
      <c r="N92">
        <f>Table1[[#This Row],[Quantity]]*Table1[[#This Row],[Unit Price (₹)]]</f>
        <v>84000</v>
      </c>
      <c r="O92">
        <f>MAX(0,Table1[[#This Row],[Reorder Level]]-Table1[[#This Row],[Quantity]])</f>
        <v>0</v>
      </c>
      <c r="P92">
        <f>MAX(0,Table1[[#This Row],[Quantity]]-Table1[[#This Row],[Reorder Level]])</f>
        <v>19</v>
      </c>
      <c r="Q92">
        <f>Table1[[#This Row],[Above Reorder QTY]]*Table1[[#This Row],[Unit Price (₹)]]</f>
        <v>53200</v>
      </c>
    </row>
    <row r="93" spans="1:17" x14ac:dyDescent="0.25">
      <c r="A93" s="3">
        <v>45747</v>
      </c>
      <c r="B93" t="s">
        <v>56</v>
      </c>
      <c r="C93" t="s">
        <v>28</v>
      </c>
      <c r="D93" t="s">
        <v>19</v>
      </c>
      <c r="E93" t="s">
        <v>37</v>
      </c>
      <c r="F93">
        <v>40</v>
      </c>
      <c r="G93">
        <v>22</v>
      </c>
      <c r="H93" t="s">
        <v>21</v>
      </c>
      <c r="I93">
        <v>1200</v>
      </c>
      <c r="J93">
        <v>10222.31</v>
      </c>
      <c r="K93">
        <v>10</v>
      </c>
      <c r="L93">
        <v>12255.11</v>
      </c>
      <c r="M93" t="s">
        <v>59</v>
      </c>
      <c r="N93">
        <f>Table1[[#This Row],[Quantity]]*Table1[[#This Row],[Unit Price (₹)]]</f>
        <v>48000</v>
      </c>
      <c r="O93">
        <f>MAX(0,Table1[[#This Row],[Reorder Level]]-Table1[[#This Row],[Quantity]])</f>
        <v>0</v>
      </c>
      <c r="P93">
        <f>MAX(0,Table1[[#This Row],[Quantity]]-Table1[[#This Row],[Reorder Level]])</f>
        <v>18</v>
      </c>
      <c r="Q93">
        <f>Table1[[#This Row],[Above Reorder QTY]]*Table1[[#This Row],[Unit Price (₹)]]</f>
        <v>21600</v>
      </c>
    </row>
    <row r="94" spans="1:17" x14ac:dyDescent="0.25">
      <c r="A94" s="3">
        <v>45748</v>
      </c>
      <c r="B94" t="s">
        <v>40</v>
      </c>
      <c r="C94" t="s">
        <v>31</v>
      </c>
      <c r="D94" t="s">
        <v>32</v>
      </c>
      <c r="E94" t="s">
        <v>29</v>
      </c>
      <c r="F94">
        <v>73</v>
      </c>
      <c r="G94">
        <v>15</v>
      </c>
      <c r="H94" t="s">
        <v>21</v>
      </c>
      <c r="I94">
        <v>1400</v>
      </c>
      <c r="J94">
        <v>22556.41</v>
      </c>
      <c r="K94">
        <v>2</v>
      </c>
      <c r="L94">
        <v>2705.39</v>
      </c>
      <c r="M94" t="s">
        <v>60</v>
      </c>
      <c r="N94">
        <f>Table1[[#This Row],[Quantity]]*Table1[[#This Row],[Unit Price (₹)]]</f>
        <v>102200</v>
      </c>
      <c r="O94">
        <f>MAX(0,Table1[[#This Row],[Reorder Level]]-Table1[[#This Row],[Quantity]])</f>
        <v>0</v>
      </c>
      <c r="P94">
        <f>MAX(0,Table1[[#This Row],[Quantity]]-Table1[[#This Row],[Reorder Level]])</f>
        <v>58</v>
      </c>
      <c r="Q94">
        <f>Table1[[#This Row],[Above Reorder QTY]]*Table1[[#This Row],[Unit Price (₹)]]</f>
        <v>81200</v>
      </c>
    </row>
    <row r="95" spans="1:17" x14ac:dyDescent="0.25">
      <c r="A95" s="3">
        <v>45749</v>
      </c>
      <c r="B95" t="s">
        <v>27</v>
      </c>
      <c r="C95" t="s">
        <v>28</v>
      </c>
      <c r="D95" t="s">
        <v>44</v>
      </c>
      <c r="E95" t="s">
        <v>33</v>
      </c>
      <c r="F95">
        <v>155</v>
      </c>
      <c r="G95">
        <v>23</v>
      </c>
      <c r="H95" t="s">
        <v>21</v>
      </c>
      <c r="I95">
        <v>18</v>
      </c>
      <c r="J95">
        <v>452.52</v>
      </c>
      <c r="K95">
        <v>20</v>
      </c>
      <c r="L95">
        <v>399.38</v>
      </c>
      <c r="M95" t="s">
        <v>60</v>
      </c>
      <c r="N95">
        <f>Table1[[#This Row],[Quantity]]*Table1[[#This Row],[Unit Price (₹)]]</f>
        <v>2790</v>
      </c>
      <c r="O95">
        <f>MAX(0,Table1[[#This Row],[Reorder Level]]-Table1[[#This Row],[Quantity]])</f>
        <v>0</v>
      </c>
      <c r="P95">
        <f>MAX(0,Table1[[#This Row],[Quantity]]-Table1[[#This Row],[Reorder Level]])</f>
        <v>132</v>
      </c>
      <c r="Q95">
        <f>Table1[[#This Row],[Above Reorder QTY]]*Table1[[#This Row],[Unit Price (₹)]]</f>
        <v>2376</v>
      </c>
    </row>
    <row r="96" spans="1:17" x14ac:dyDescent="0.25">
      <c r="A96" s="3">
        <v>45750</v>
      </c>
      <c r="B96" t="s">
        <v>46</v>
      </c>
      <c r="C96" t="s">
        <v>18</v>
      </c>
      <c r="D96" t="s">
        <v>19</v>
      </c>
      <c r="E96" t="s">
        <v>26</v>
      </c>
      <c r="F96">
        <v>109</v>
      </c>
      <c r="G96">
        <v>43</v>
      </c>
      <c r="H96" t="s">
        <v>21</v>
      </c>
      <c r="I96">
        <v>6000</v>
      </c>
      <c r="J96">
        <v>114085.54</v>
      </c>
      <c r="K96">
        <v>14</v>
      </c>
      <c r="L96">
        <v>84320.08</v>
      </c>
      <c r="M96" t="s">
        <v>60</v>
      </c>
      <c r="N96">
        <f>Table1[[#This Row],[Quantity]]*Table1[[#This Row],[Unit Price (₹)]]</f>
        <v>654000</v>
      </c>
      <c r="O96">
        <f>MAX(0,Table1[[#This Row],[Reorder Level]]-Table1[[#This Row],[Quantity]])</f>
        <v>0</v>
      </c>
      <c r="P96">
        <f>MAX(0,Table1[[#This Row],[Quantity]]-Table1[[#This Row],[Reorder Level]])</f>
        <v>66</v>
      </c>
      <c r="Q96">
        <f>Table1[[#This Row],[Above Reorder QTY]]*Table1[[#This Row],[Unit Price (₹)]]</f>
        <v>396000</v>
      </c>
    </row>
    <row r="97" spans="1:17" x14ac:dyDescent="0.25">
      <c r="A97" s="3">
        <v>45751</v>
      </c>
      <c r="B97" t="s">
        <v>54</v>
      </c>
      <c r="C97" t="s">
        <v>50</v>
      </c>
      <c r="D97" t="s">
        <v>32</v>
      </c>
      <c r="E97" t="s">
        <v>26</v>
      </c>
      <c r="F97">
        <v>194</v>
      </c>
      <c r="G97">
        <v>38</v>
      </c>
      <c r="H97" t="s">
        <v>21</v>
      </c>
      <c r="I97">
        <v>1500</v>
      </c>
      <c r="J97">
        <v>80750.63</v>
      </c>
      <c r="K97">
        <v>39</v>
      </c>
      <c r="L97">
        <v>64142.6</v>
      </c>
      <c r="M97" t="s">
        <v>60</v>
      </c>
      <c r="N97">
        <f>Table1[[#This Row],[Quantity]]*Table1[[#This Row],[Unit Price (₹)]]</f>
        <v>291000</v>
      </c>
      <c r="O97">
        <f>MAX(0,Table1[[#This Row],[Reorder Level]]-Table1[[#This Row],[Quantity]])</f>
        <v>0</v>
      </c>
      <c r="P97">
        <f>MAX(0,Table1[[#This Row],[Quantity]]-Table1[[#This Row],[Reorder Level]])</f>
        <v>156</v>
      </c>
      <c r="Q97">
        <f>Table1[[#This Row],[Above Reorder QTY]]*Table1[[#This Row],[Unit Price (₹)]]</f>
        <v>234000</v>
      </c>
    </row>
    <row r="98" spans="1:17" x14ac:dyDescent="0.25">
      <c r="A98" s="3">
        <v>45752</v>
      </c>
      <c r="B98" t="s">
        <v>57</v>
      </c>
      <c r="C98" t="s">
        <v>24</v>
      </c>
      <c r="D98" t="s">
        <v>42</v>
      </c>
      <c r="E98" t="s">
        <v>20</v>
      </c>
      <c r="F98">
        <v>153</v>
      </c>
      <c r="G98">
        <v>29</v>
      </c>
      <c r="H98" t="s">
        <v>21</v>
      </c>
      <c r="I98">
        <v>1200</v>
      </c>
      <c r="J98">
        <v>31783.85</v>
      </c>
      <c r="K98">
        <v>23</v>
      </c>
      <c r="L98">
        <v>28207.96</v>
      </c>
      <c r="M98" t="s">
        <v>60</v>
      </c>
      <c r="N98">
        <f>Table1[[#This Row],[Quantity]]*Table1[[#This Row],[Unit Price (₹)]]</f>
        <v>183600</v>
      </c>
      <c r="O98">
        <f>MAX(0,Table1[[#This Row],[Reorder Level]]-Table1[[#This Row],[Quantity]])</f>
        <v>0</v>
      </c>
      <c r="P98">
        <f>MAX(0,Table1[[#This Row],[Quantity]]-Table1[[#This Row],[Reorder Level]])</f>
        <v>124</v>
      </c>
      <c r="Q98">
        <f>Table1[[#This Row],[Above Reorder QTY]]*Table1[[#This Row],[Unit Price (₹)]]</f>
        <v>148800</v>
      </c>
    </row>
    <row r="99" spans="1:17" x14ac:dyDescent="0.25">
      <c r="A99" s="3">
        <v>45753</v>
      </c>
      <c r="B99" t="s">
        <v>49</v>
      </c>
      <c r="C99" t="s">
        <v>50</v>
      </c>
      <c r="D99" t="s">
        <v>42</v>
      </c>
      <c r="E99" t="s">
        <v>29</v>
      </c>
      <c r="F99">
        <v>110</v>
      </c>
      <c r="G99">
        <v>26</v>
      </c>
      <c r="H99" t="s">
        <v>21</v>
      </c>
      <c r="I99">
        <v>850</v>
      </c>
      <c r="J99">
        <v>16948.93</v>
      </c>
      <c r="K99">
        <v>23</v>
      </c>
      <c r="L99">
        <v>20137.669999999998</v>
      </c>
      <c r="M99" t="s">
        <v>60</v>
      </c>
      <c r="N99">
        <f>Table1[[#This Row],[Quantity]]*Table1[[#This Row],[Unit Price (₹)]]</f>
        <v>93500</v>
      </c>
      <c r="O99">
        <f>MAX(0,Table1[[#This Row],[Reorder Level]]-Table1[[#This Row],[Quantity]])</f>
        <v>0</v>
      </c>
      <c r="P99">
        <f>MAX(0,Table1[[#This Row],[Quantity]]-Table1[[#This Row],[Reorder Level]])</f>
        <v>84</v>
      </c>
      <c r="Q99">
        <f>Table1[[#This Row],[Above Reorder QTY]]*Table1[[#This Row],[Unit Price (₹)]]</f>
        <v>71400</v>
      </c>
    </row>
    <row r="100" spans="1:17" x14ac:dyDescent="0.25">
      <c r="A100" s="3">
        <v>45754</v>
      </c>
      <c r="B100" t="s">
        <v>51</v>
      </c>
      <c r="C100" t="s">
        <v>18</v>
      </c>
      <c r="D100" t="s">
        <v>19</v>
      </c>
      <c r="E100" t="s">
        <v>26</v>
      </c>
      <c r="F100">
        <v>203</v>
      </c>
      <c r="G100">
        <v>18</v>
      </c>
      <c r="H100" t="s">
        <v>21</v>
      </c>
      <c r="I100">
        <v>450</v>
      </c>
      <c r="J100">
        <v>26389.42</v>
      </c>
      <c r="K100">
        <v>3</v>
      </c>
      <c r="L100">
        <v>1475.01</v>
      </c>
      <c r="M100" t="s">
        <v>60</v>
      </c>
      <c r="N100">
        <f>Table1[[#This Row],[Quantity]]*Table1[[#This Row],[Unit Price (₹)]]</f>
        <v>91350</v>
      </c>
      <c r="O100">
        <f>MAX(0,Table1[[#This Row],[Reorder Level]]-Table1[[#This Row],[Quantity]])</f>
        <v>0</v>
      </c>
      <c r="P100">
        <f>MAX(0,Table1[[#This Row],[Quantity]]-Table1[[#This Row],[Reorder Level]])</f>
        <v>185</v>
      </c>
      <c r="Q100">
        <f>Table1[[#This Row],[Above Reorder QTY]]*Table1[[#This Row],[Unit Price (₹)]]</f>
        <v>83250</v>
      </c>
    </row>
    <row r="101" spans="1:17" x14ac:dyDescent="0.25">
      <c r="A101" s="3">
        <v>45755</v>
      </c>
      <c r="B101" t="s">
        <v>57</v>
      </c>
      <c r="C101" t="s">
        <v>24</v>
      </c>
      <c r="D101" t="s">
        <v>42</v>
      </c>
      <c r="E101" t="s">
        <v>37</v>
      </c>
      <c r="F101">
        <v>125</v>
      </c>
      <c r="G101">
        <v>31</v>
      </c>
      <c r="H101" t="s">
        <v>21</v>
      </c>
      <c r="I101">
        <v>1200</v>
      </c>
      <c r="J101">
        <v>20831.84</v>
      </c>
      <c r="K101">
        <v>27</v>
      </c>
      <c r="L101">
        <v>33696.160000000003</v>
      </c>
      <c r="M101" t="s">
        <v>60</v>
      </c>
      <c r="N101">
        <f>Table1[[#This Row],[Quantity]]*Table1[[#This Row],[Unit Price (₹)]]</f>
        <v>150000</v>
      </c>
      <c r="O101">
        <f>MAX(0,Table1[[#This Row],[Reorder Level]]-Table1[[#This Row],[Quantity]])</f>
        <v>0</v>
      </c>
      <c r="P101">
        <f>MAX(0,Table1[[#This Row],[Quantity]]-Table1[[#This Row],[Reorder Level]])</f>
        <v>94</v>
      </c>
      <c r="Q101">
        <f>Table1[[#This Row],[Above Reorder QTY]]*Table1[[#This Row],[Unit Price (₹)]]</f>
        <v>112800</v>
      </c>
    </row>
    <row r="102" spans="1:17" x14ac:dyDescent="0.25">
      <c r="A102" s="3">
        <v>45756</v>
      </c>
      <c r="B102" t="s">
        <v>30</v>
      </c>
      <c r="C102" t="s">
        <v>31</v>
      </c>
      <c r="D102" t="s">
        <v>19</v>
      </c>
      <c r="E102" t="s">
        <v>29</v>
      </c>
      <c r="F102">
        <v>248</v>
      </c>
      <c r="G102">
        <v>39</v>
      </c>
      <c r="H102" t="s">
        <v>21</v>
      </c>
      <c r="I102">
        <v>1100</v>
      </c>
      <c r="J102">
        <v>61622.62</v>
      </c>
      <c r="K102">
        <v>10</v>
      </c>
      <c r="L102">
        <v>12110.2</v>
      </c>
      <c r="M102" t="s">
        <v>60</v>
      </c>
      <c r="N102">
        <f>Table1[[#This Row],[Quantity]]*Table1[[#This Row],[Unit Price (₹)]]</f>
        <v>272800</v>
      </c>
      <c r="O102">
        <f>MAX(0,Table1[[#This Row],[Reorder Level]]-Table1[[#This Row],[Quantity]])</f>
        <v>0</v>
      </c>
      <c r="P102">
        <f>MAX(0,Table1[[#This Row],[Quantity]]-Table1[[#This Row],[Reorder Level]])</f>
        <v>209</v>
      </c>
      <c r="Q102">
        <f>Table1[[#This Row],[Above Reorder QTY]]*Table1[[#This Row],[Unit Price (₹)]]</f>
        <v>229900</v>
      </c>
    </row>
    <row r="103" spans="1:17" x14ac:dyDescent="0.25">
      <c r="A103" s="3">
        <v>45757</v>
      </c>
      <c r="B103" t="s">
        <v>56</v>
      </c>
      <c r="C103" t="s">
        <v>28</v>
      </c>
      <c r="D103" t="s">
        <v>41</v>
      </c>
      <c r="E103" t="s">
        <v>29</v>
      </c>
      <c r="F103">
        <v>235</v>
      </c>
      <c r="G103">
        <v>49</v>
      </c>
      <c r="H103" t="s">
        <v>21</v>
      </c>
      <c r="I103">
        <v>1200</v>
      </c>
      <c r="J103">
        <v>83459.199999999997</v>
      </c>
      <c r="K103">
        <v>24</v>
      </c>
      <c r="L103">
        <v>29117.38</v>
      </c>
      <c r="M103" t="s">
        <v>60</v>
      </c>
      <c r="N103">
        <f>Table1[[#This Row],[Quantity]]*Table1[[#This Row],[Unit Price (₹)]]</f>
        <v>282000</v>
      </c>
      <c r="O103">
        <f>MAX(0,Table1[[#This Row],[Reorder Level]]-Table1[[#This Row],[Quantity]])</f>
        <v>0</v>
      </c>
      <c r="P103">
        <f>MAX(0,Table1[[#This Row],[Quantity]]-Table1[[#This Row],[Reorder Level]])</f>
        <v>186</v>
      </c>
      <c r="Q103">
        <f>Table1[[#This Row],[Above Reorder QTY]]*Table1[[#This Row],[Unit Price (₹)]]</f>
        <v>223200</v>
      </c>
    </row>
    <row r="104" spans="1:17" x14ac:dyDescent="0.25">
      <c r="A104" s="3">
        <v>45758</v>
      </c>
      <c r="B104" t="s">
        <v>56</v>
      </c>
      <c r="C104" t="s">
        <v>28</v>
      </c>
      <c r="D104" t="s">
        <v>44</v>
      </c>
      <c r="E104" t="s">
        <v>29</v>
      </c>
      <c r="F104">
        <v>145</v>
      </c>
      <c r="G104">
        <v>38</v>
      </c>
      <c r="H104" t="s">
        <v>21</v>
      </c>
      <c r="I104">
        <v>1200</v>
      </c>
      <c r="J104">
        <v>42181.06</v>
      </c>
      <c r="K104">
        <v>6</v>
      </c>
      <c r="L104">
        <v>7978.35</v>
      </c>
      <c r="M104" t="s">
        <v>60</v>
      </c>
      <c r="N104">
        <f>Table1[[#This Row],[Quantity]]*Table1[[#This Row],[Unit Price (₹)]]</f>
        <v>174000</v>
      </c>
      <c r="O104">
        <f>MAX(0,Table1[[#This Row],[Reorder Level]]-Table1[[#This Row],[Quantity]])</f>
        <v>0</v>
      </c>
      <c r="P104">
        <f>MAX(0,Table1[[#This Row],[Quantity]]-Table1[[#This Row],[Reorder Level]])</f>
        <v>107</v>
      </c>
      <c r="Q104">
        <f>Table1[[#This Row],[Above Reorder QTY]]*Table1[[#This Row],[Unit Price (₹)]]</f>
        <v>128400</v>
      </c>
    </row>
    <row r="105" spans="1:17" x14ac:dyDescent="0.25">
      <c r="A105" s="3">
        <v>45759</v>
      </c>
      <c r="B105" t="s">
        <v>51</v>
      </c>
      <c r="C105" t="s">
        <v>18</v>
      </c>
      <c r="D105" t="s">
        <v>19</v>
      </c>
      <c r="E105" t="s">
        <v>35</v>
      </c>
      <c r="F105">
        <v>172</v>
      </c>
      <c r="G105">
        <v>24</v>
      </c>
      <c r="H105" t="s">
        <v>21</v>
      </c>
      <c r="I105">
        <v>450</v>
      </c>
      <c r="J105">
        <v>2925.73</v>
      </c>
      <c r="K105">
        <v>23</v>
      </c>
      <c r="L105">
        <v>10912.44</v>
      </c>
      <c r="M105" t="s">
        <v>60</v>
      </c>
      <c r="N105">
        <f>Table1[[#This Row],[Quantity]]*Table1[[#This Row],[Unit Price (₹)]]</f>
        <v>77400</v>
      </c>
      <c r="O105">
        <f>MAX(0,Table1[[#This Row],[Reorder Level]]-Table1[[#This Row],[Quantity]])</f>
        <v>0</v>
      </c>
      <c r="P105">
        <f>MAX(0,Table1[[#This Row],[Quantity]]-Table1[[#This Row],[Reorder Level]])</f>
        <v>148</v>
      </c>
      <c r="Q105">
        <f>Table1[[#This Row],[Above Reorder QTY]]*Table1[[#This Row],[Unit Price (₹)]]</f>
        <v>66600</v>
      </c>
    </row>
    <row r="106" spans="1:17" x14ac:dyDescent="0.25">
      <c r="A106" s="3">
        <v>45760</v>
      </c>
      <c r="B106" t="s">
        <v>43</v>
      </c>
      <c r="C106" t="s">
        <v>24</v>
      </c>
      <c r="D106" t="s">
        <v>25</v>
      </c>
      <c r="E106" t="s">
        <v>20</v>
      </c>
      <c r="F106">
        <v>21</v>
      </c>
      <c r="G106">
        <v>46</v>
      </c>
      <c r="H106" t="s">
        <v>55</v>
      </c>
      <c r="I106">
        <v>2200</v>
      </c>
      <c r="J106">
        <v>9171.2999999999993</v>
      </c>
      <c r="K106">
        <v>1</v>
      </c>
      <c r="L106">
        <v>2258.58</v>
      </c>
      <c r="M106" t="s">
        <v>60</v>
      </c>
      <c r="N106">
        <f>Table1[[#This Row],[Quantity]]*Table1[[#This Row],[Unit Price (₹)]]</f>
        <v>46200</v>
      </c>
      <c r="O106">
        <f>MAX(0,Table1[[#This Row],[Reorder Level]]-Table1[[#This Row],[Quantity]])</f>
        <v>25</v>
      </c>
      <c r="P106">
        <f>MAX(0,Table1[[#This Row],[Quantity]]-Table1[[#This Row],[Reorder Level]])</f>
        <v>0</v>
      </c>
      <c r="Q106">
        <f>Table1[[#This Row],[Above Reorder QTY]]*Table1[[#This Row],[Unit Price (₹)]]</f>
        <v>0</v>
      </c>
    </row>
    <row r="107" spans="1:17" x14ac:dyDescent="0.25">
      <c r="A107" s="3">
        <v>45761</v>
      </c>
      <c r="B107" t="s">
        <v>57</v>
      </c>
      <c r="C107" t="s">
        <v>24</v>
      </c>
      <c r="D107" t="s">
        <v>19</v>
      </c>
      <c r="E107" t="s">
        <v>26</v>
      </c>
      <c r="F107">
        <v>198</v>
      </c>
      <c r="G107">
        <v>14</v>
      </c>
      <c r="H107" t="s">
        <v>21</v>
      </c>
      <c r="I107">
        <v>1200</v>
      </c>
      <c r="J107">
        <v>10703.21</v>
      </c>
      <c r="K107">
        <v>10</v>
      </c>
      <c r="L107">
        <v>13760.91</v>
      </c>
      <c r="M107" t="s">
        <v>60</v>
      </c>
      <c r="N107">
        <f>Table1[[#This Row],[Quantity]]*Table1[[#This Row],[Unit Price (₹)]]</f>
        <v>237600</v>
      </c>
      <c r="O107">
        <f>MAX(0,Table1[[#This Row],[Reorder Level]]-Table1[[#This Row],[Quantity]])</f>
        <v>0</v>
      </c>
      <c r="P107">
        <f>MAX(0,Table1[[#This Row],[Quantity]]-Table1[[#This Row],[Reorder Level]])</f>
        <v>184</v>
      </c>
      <c r="Q107">
        <f>Table1[[#This Row],[Above Reorder QTY]]*Table1[[#This Row],[Unit Price (₹)]]</f>
        <v>220800</v>
      </c>
    </row>
    <row r="108" spans="1:17" x14ac:dyDescent="0.25">
      <c r="A108" s="3">
        <v>45762</v>
      </c>
      <c r="B108" t="s">
        <v>38</v>
      </c>
      <c r="C108" t="s">
        <v>18</v>
      </c>
      <c r="D108" t="s">
        <v>19</v>
      </c>
      <c r="E108" t="s">
        <v>37</v>
      </c>
      <c r="F108">
        <v>45</v>
      </c>
      <c r="G108">
        <v>27</v>
      </c>
      <c r="H108" t="s">
        <v>21</v>
      </c>
      <c r="I108">
        <v>4500</v>
      </c>
      <c r="J108">
        <v>27501.42</v>
      </c>
      <c r="K108">
        <v>8</v>
      </c>
      <c r="L108">
        <v>35459.14</v>
      </c>
      <c r="M108" t="s">
        <v>60</v>
      </c>
      <c r="N108">
        <f>Table1[[#This Row],[Quantity]]*Table1[[#This Row],[Unit Price (₹)]]</f>
        <v>202500</v>
      </c>
      <c r="O108">
        <f>MAX(0,Table1[[#This Row],[Reorder Level]]-Table1[[#This Row],[Quantity]])</f>
        <v>0</v>
      </c>
      <c r="P108">
        <f>MAX(0,Table1[[#This Row],[Quantity]]-Table1[[#This Row],[Reorder Level]])</f>
        <v>18</v>
      </c>
      <c r="Q108">
        <f>Table1[[#This Row],[Above Reorder QTY]]*Table1[[#This Row],[Unit Price (₹)]]</f>
        <v>81000</v>
      </c>
    </row>
    <row r="109" spans="1:17" x14ac:dyDescent="0.25">
      <c r="A109" s="3">
        <v>45763</v>
      </c>
      <c r="B109" t="s">
        <v>61</v>
      </c>
      <c r="C109" t="s">
        <v>50</v>
      </c>
      <c r="D109" t="s">
        <v>41</v>
      </c>
      <c r="E109" t="s">
        <v>45</v>
      </c>
      <c r="F109">
        <v>123</v>
      </c>
      <c r="G109">
        <v>23</v>
      </c>
      <c r="H109" t="s">
        <v>21</v>
      </c>
      <c r="I109">
        <v>900</v>
      </c>
      <c r="J109">
        <v>2463.25</v>
      </c>
      <c r="K109">
        <v>30</v>
      </c>
      <c r="L109">
        <v>28254.27</v>
      </c>
      <c r="M109" t="s">
        <v>60</v>
      </c>
      <c r="N109">
        <f>Table1[[#This Row],[Quantity]]*Table1[[#This Row],[Unit Price (₹)]]</f>
        <v>110700</v>
      </c>
      <c r="O109">
        <f>MAX(0,Table1[[#This Row],[Reorder Level]]-Table1[[#This Row],[Quantity]])</f>
        <v>0</v>
      </c>
      <c r="P109">
        <f>MAX(0,Table1[[#This Row],[Quantity]]-Table1[[#This Row],[Reorder Level]])</f>
        <v>100</v>
      </c>
      <c r="Q109">
        <f>Table1[[#This Row],[Above Reorder QTY]]*Table1[[#This Row],[Unit Price (₹)]]</f>
        <v>90000</v>
      </c>
    </row>
    <row r="110" spans="1:17" x14ac:dyDescent="0.25">
      <c r="A110" s="3">
        <v>45764</v>
      </c>
      <c r="B110" t="s">
        <v>17</v>
      </c>
      <c r="C110" t="s">
        <v>18</v>
      </c>
      <c r="D110" t="s">
        <v>42</v>
      </c>
      <c r="E110" t="s">
        <v>29</v>
      </c>
      <c r="F110">
        <v>12</v>
      </c>
      <c r="G110">
        <v>33</v>
      </c>
      <c r="H110" t="s">
        <v>55</v>
      </c>
      <c r="I110">
        <v>250</v>
      </c>
      <c r="J110">
        <v>627.41999999999996</v>
      </c>
      <c r="K110">
        <v>3</v>
      </c>
      <c r="L110">
        <v>801.85</v>
      </c>
      <c r="M110" t="s">
        <v>60</v>
      </c>
      <c r="N110">
        <f>Table1[[#This Row],[Quantity]]*Table1[[#This Row],[Unit Price (₹)]]</f>
        <v>3000</v>
      </c>
      <c r="O110">
        <f>MAX(0,Table1[[#This Row],[Reorder Level]]-Table1[[#This Row],[Quantity]])</f>
        <v>21</v>
      </c>
      <c r="P110">
        <f>MAX(0,Table1[[#This Row],[Quantity]]-Table1[[#This Row],[Reorder Level]])</f>
        <v>0</v>
      </c>
      <c r="Q110">
        <f>Table1[[#This Row],[Above Reorder QTY]]*Table1[[#This Row],[Unit Price (₹)]]</f>
        <v>0</v>
      </c>
    </row>
    <row r="111" spans="1:17" x14ac:dyDescent="0.25">
      <c r="A111" s="3">
        <v>45765</v>
      </c>
      <c r="B111" t="s">
        <v>48</v>
      </c>
      <c r="C111" t="s">
        <v>28</v>
      </c>
      <c r="D111" t="s">
        <v>42</v>
      </c>
      <c r="E111" t="s">
        <v>26</v>
      </c>
      <c r="F111">
        <v>187</v>
      </c>
      <c r="G111">
        <v>23</v>
      </c>
      <c r="H111" t="s">
        <v>21</v>
      </c>
      <c r="I111">
        <v>45</v>
      </c>
      <c r="J111">
        <v>292.82</v>
      </c>
      <c r="K111">
        <v>18</v>
      </c>
      <c r="L111">
        <v>900.52</v>
      </c>
      <c r="M111" t="s">
        <v>60</v>
      </c>
      <c r="N111">
        <f>Table1[[#This Row],[Quantity]]*Table1[[#This Row],[Unit Price (₹)]]</f>
        <v>8415</v>
      </c>
      <c r="O111">
        <f>MAX(0,Table1[[#This Row],[Reorder Level]]-Table1[[#This Row],[Quantity]])</f>
        <v>0</v>
      </c>
      <c r="P111">
        <f>MAX(0,Table1[[#This Row],[Quantity]]-Table1[[#This Row],[Reorder Level]])</f>
        <v>164</v>
      </c>
      <c r="Q111">
        <f>Table1[[#This Row],[Above Reorder QTY]]*Table1[[#This Row],[Unit Price (₹)]]</f>
        <v>7380</v>
      </c>
    </row>
    <row r="112" spans="1:17" x14ac:dyDescent="0.25">
      <c r="A112" s="3">
        <v>45766</v>
      </c>
      <c r="B112" t="s">
        <v>46</v>
      </c>
      <c r="C112" t="s">
        <v>18</v>
      </c>
      <c r="D112" t="s">
        <v>25</v>
      </c>
      <c r="E112" t="s">
        <v>33</v>
      </c>
      <c r="F112">
        <v>193</v>
      </c>
      <c r="G112">
        <v>38</v>
      </c>
      <c r="H112" t="s">
        <v>21</v>
      </c>
      <c r="I112">
        <v>6000</v>
      </c>
      <c r="J112">
        <v>185946.19</v>
      </c>
      <c r="K112">
        <v>36</v>
      </c>
      <c r="L112">
        <v>222286.25</v>
      </c>
      <c r="M112" t="s">
        <v>60</v>
      </c>
      <c r="N112">
        <f>Table1[[#This Row],[Quantity]]*Table1[[#This Row],[Unit Price (₹)]]</f>
        <v>1158000</v>
      </c>
      <c r="O112">
        <f>MAX(0,Table1[[#This Row],[Reorder Level]]-Table1[[#This Row],[Quantity]])</f>
        <v>0</v>
      </c>
      <c r="P112">
        <f>MAX(0,Table1[[#This Row],[Quantity]]-Table1[[#This Row],[Reorder Level]])</f>
        <v>155</v>
      </c>
      <c r="Q112">
        <f>Table1[[#This Row],[Above Reorder QTY]]*Table1[[#This Row],[Unit Price (₹)]]</f>
        <v>930000</v>
      </c>
    </row>
    <row r="113" spans="1:17" x14ac:dyDescent="0.25">
      <c r="A113" s="3">
        <v>45767</v>
      </c>
      <c r="B113" t="s">
        <v>46</v>
      </c>
      <c r="C113" t="s">
        <v>18</v>
      </c>
      <c r="D113" t="s">
        <v>19</v>
      </c>
      <c r="E113" t="s">
        <v>33</v>
      </c>
      <c r="F113">
        <v>238</v>
      </c>
      <c r="G113">
        <v>46</v>
      </c>
      <c r="H113" t="s">
        <v>21</v>
      </c>
      <c r="I113">
        <v>6000</v>
      </c>
      <c r="J113">
        <v>56864.639999999999</v>
      </c>
      <c r="K113">
        <v>15</v>
      </c>
      <c r="L113">
        <v>96024.03</v>
      </c>
      <c r="M113" t="s">
        <v>60</v>
      </c>
      <c r="N113">
        <f>Table1[[#This Row],[Quantity]]*Table1[[#This Row],[Unit Price (₹)]]</f>
        <v>1428000</v>
      </c>
      <c r="O113">
        <f>MAX(0,Table1[[#This Row],[Reorder Level]]-Table1[[#This Row],[Quantity]])</f>
        <v>0</v>
      </c>
      <c r="P113">
        <f>MAX(0,Table1[[#This Row],[Quantity]]-Table1[[#This Row],[Reorder Level]])</f>
        <v>192</v>
      </c>
      <c r="Q113">
        <f>Table1[[#This Row],[Above Reorder QTY]]*Table1[[#This Row],[Unit Price (₹)]]</f>
        <v>1152000</v>
      </c>
    </row>
    <row r="114" spans="1:17" x14ac:dyDescent="0.25">
      <c r="A114" s="3">
        <v>45768</v>
      </c>
      <c r="B114" t="s">
        <v>39</v>
      </c>
      <c r="C114" t="s">
        <v>31</v>
      </c>
      <c r="D114" t="s">
        <v>44</v>
      </c>
      <c r="E114" t="s">
        <v>20</v>
      </c>
      <c r="F114">
        <v>130</v>
      </c>
      <c r="G114">
        <v>13</v>
      </c>
      <c r="H114" t="s">
        <v>21</v>
      </c>
      <c r="I114">
        <v>650</v>
      </c>
      <c r="J114">
        <v>9122.26</v>
      </c>
      <c r="K114">
        <v>17</v>
      </c>
      <c r="L114">
        <v>10993.9</v>
      </c>
      <c r="M114" t="s">
        <v>60</v>
      </c>
      <c r="N114">
        <f>Table1[[#This Row],[Quantity]]*Table1[[#This Row],[Unit Price (₹)]]</f>
        <v>84500</v>
      </c>
      <c r="O114">
        <f>MAX(0,Table1[[#This Row],[Reorder Level]]-Table1[[#This Row],[Quantity]])</f>
        <v>0</v>
      </c>
      <c r="P114">
        <f>MAX(0,Table1[[#This Row],[Quantity]]-Table1[[#This Row],[Reorder Level]])</f>
        <v>117</v>
      </c>
      <c r="Q114">
        <f>Table1[[#This Row],[Above Reorder QTY]]*Table1[[#This Row],[Unit Price (₹)]]</f>
        <v>76050</v>
      </c>
    </row>
    <row r="115" spans="1:17" x14ac:dyDescent="0.25">
      <c r="A115" s="3">
        <v>45769</v>
      </c>
      <c r="B115" t="s">
        <v>51</v>
      </c>
      <c r="C115" t="s">
        <v>18</v>
      </c>
      <c r="D115" t="s">
        <v>19</v>
      </c>
      <c r="E115" t="s">
        <v>20</v>
      </c>
      <c r="F115">
        <v>243</v>
      </c>
      <c r="G115">
        <v>29</v>
      </c>
      <c r="H115" t="s">
        <v>21</v>
      </c>
      <c r="I115">
        <v>450</v>
      </c>
      <c r="J115">
        <v>23872.11</v>
      </c>
      <c r="K115">
        <v>43</v>
      </c>
      <c r="L115">
        <v>20161.45</v>
      </c>
      <c r="M115" t="s">
        <v>60</v>
      </c>
      <c r="N115">
        <f>Table1[[#This Row],[Quantity]]*Table1[[#This Row],[Unit Price (₹)]]</f>
        <v>109350</v>
      </c>
      <c r="O115">
        <f>MAX(0,Table1[[#This Row],[Reorder Level]]-Table1[[#This Row],[Quantity]])</f>
        <v>0</v>
      </c>
      <c r="P115">
        <f>MAX(0,Table1[[#This Row],[Quantity]]-Table1[[#This Row],[Reorder Level]])</f>
        <v>214</v>
      </c>
      <c r="Q115">
        <f>Table1[[#This Row],[Above Reorder QTY]]*Table1[[#This Row],[Unit Price (₹)]]</f>
        <v>96300</v>
      </c>
    </row>
    <row r="116" spans="1:17" x14ac:dyDescent="0.25">
      <c r="A116" s="3">
        <v>45770</v>
      </c>
      <c r="B116" t="s">
        <v>30</v>
      </c>
      <c r="C116" t="s">
        <v>31</v>
      </c>
      <c r="D116" t="s">
        <v>19</v>
      </c>
      <c r="E116" t="s">
        <v>20</v>
      </c>
      <c r="F116">
        <v>217</v>
      </c>
      <c r="G116">
        <v>39</v>
      </c>
      <c r="H116" t="s">
        <v>21</v>
      </c>
      <c r="I116">
        <v>1100</v>
      </c>
      <c r="J116">
        <v>54899.24</v>
      </c>
      <c r="K116">
        <v>28</v>
      </c>
      <c r="L116">
        <v>35264.99</v>
      </c>
      <c r="M116" t="s">
        <v>60</v>
      </c>
      <c r="N116">
        <f>Table1[[#This Row],[Quantity]]*Table1[[#This Row],[Unit Price (₹)]]</f>
        <v>238700</v>
      </c>
      <c r="O116">
        <f>MAX(0,Table1[[#This Row],[Reorder Level]]-Table1[[#This Row],[Quantity]])</f>
        <v>0</v>
      </c>
      <c r="P116">
        <f>MAX(0,Table1[[#This Row],[Quantity]]-Table1[[#This Row],[Reorder Level]])</f>
        <v>178</v>
      </c>
      <c r="Q116">
        <f>Table1[[#This Row],[Above Reorder QTY]]*Table1[[#This Row],[Unit Price (₹)]]</f>
        <v>195800</v>
      </c>
    </row>
    <row r="117" spans="1:17" x14ac:dyDescent="0.25">
      <c r="A117" s="3">
        <v>45771</v>
      </c>
      <c r="B117" t="s">
        <v>49</v>
      </c>
      <c r="C117" t="s">
        <v>50</v>
      </c>
      <c r="D117" t="s">
        <v>32</v>
      </c>
      <c r="E117" t="s">
        <v>45</v>
      </c>
      <c r="F117">
        <v>226</v>
      </c>
      <c r="G117">
        <v>40</v>
      </c>
      <c r="H117" t="s">
        <v>21</v>
      </c>
      <c r="I117">
        <v>850</v>
      </c>
      <c r="J117">
        <v>20364.18</v>
      </c>
      <c r="K117">
        <v>2</v>
      </c>
      <c r="L117">
        <v>1773.87</v>
      </c>
      <c r="M117" t="s">
        <v>60</v>
      </c>
      <c r="N117">
        <f>Table1[[#This Row],[Quantity]]*Table1[[#This Row],[Unit Price (₹)]]</f>
        <v>192100</v>
      </c>
      <c r="O117">
        <f>MAX(0,Table1[[#This Row],[Reorder Level]]-Table1[[#This Row],[Quantity]])</f>
        <v>0</v>
      </c>
      <c r="P117">
        <f>MAX(0,Table1[[#This Row],[Quantity]]-Table1[[#This Row],[Reorder Level]])</f>
        <v>186</v>
      </c>
      <c r="Q117">
        <f>Table1[[#This Row],[Above Reorder QTY]]*Table1[[#This Row],[Unit Price (₹)]]</f>
        <v>158100</v>
      </c>
    </row>
    <row r="118" spans="1:17" x14ac:dyDescent="0.25">
      <c r="A118" s="3">
        <v>45772</v>
      </c>
      <c r="B118" t="s">
        <v>34</v>
      </c>
      <c r="C118" t="s">
        <v>18</v>
      </c>
      <c r="D118" t="s">
        <v>32</v>
      </c>
      <c r="E118" t="s">
        <v>29</v>
      </c>
      <c r="F118">
        <v>119</v>
      </c>
      <c r="G118">
        <v>13</v>
      </c>
      <c r="H118" t="s">
        <v>21</v>
      </c>
      <c r="I118">
        <v>8500</v>
      </c>
      <c r="J118">
        <v>182735.92</v>
      </c>
      <c r="K118">
        <v>1</v>
      </c>
      <c r="L118">
        <v>9760.8799999999992</v>
      </c>
      <c r="M118" t="s">
        <v>60</v>
      </c>
      <c r="N118">
        <f>Table1[[#This Row],[Quantity]]*Table1[[#This Row],[Unit Price (₹)]]</f>
        <v>1011500</v>
      </c>
      <c r="O118">
        <f>MAX(0,Table1[[#This Row],[Reorder Level]]-Table1[[#This Row],[Quantity]])</f>
        <v>0</v>
      </c>
      <c r="P118">
        <f>MAX(0,Table1[[#This Row],[Quantity]]-Table1[[#This Row],[Reorder Level]])</f>
        <v>106</v>
      </c>
      <c r="Q118">
        <f>Table1[[#This Row],[Above Reorder QTY]]*Table1[[#This Row],[Unit Price (₹)]]</f>
        <v>901000</v>
      </c>
    </row>
    <row r="119" spans="1:17" x14ac:dyDescent="0.25">
      <c r="A119" s="3">
        <v>45773</v>
      </c>
      <c r="B119" t="s">
        <v>54</v>
      </c>
      <c r="C119" t="s">
        <v>50</v>
      </c>
      <c r="D119" t="s">
        <v>19</v>
      </c>
      <c r="E119" t="s">
        <v>29</v>
      </c>
      <c r="F119">
        <v>18</v>
      </c>
      <c r="G119">
        <v>17</v>
      </c>
      <c r="H119" t="s">
        <v>21</v>
      </c>
      <c r="I119">
        <v>1500</v>
      </c>
      <c r="J119">
        <v>2701.27</v>
      </c>
      <c r="K119">
        <v>3</v>
      </c>
      <c r="L119">
        <v>4736.59</v>
      </c>
      <c r="M119" t="s">
        <v>60</v>
      </c>
      <c r="N119">
        <f>Table1[[#This Row],[Quantity]]*Table1[[#This Row],[Unit Price (₹)]]</f>
        <v>27000</v>
      </c>
      <c r="O119">
        <f>MAX(0,Table1[[#This Row],[Reorder Level]]-Table1[[#This Row],[Quantity]])</f>
        <v>0</v>
      </c>
      <c r="P119">
        <f>MAX(0,Table1[[#This Row],[Quantity]]-Table1[[#This Row],[Reorder Level]])</f>
        <v>1</v>
      </c>
      <c r="Q119">
        <f>Table1[[#This Row],[Above Reorder QTY]]*Table1[[#This Row],[Unit Price (₹)]]</f>
        <v>1500</v>
      </c>
    </row>
    <row r="120" spans="1:17" x14ac:dyDescent="0.25">
      <c r="A120" s="3">
        <v>45774</v>
      </c>
      <c r="B120" t="s">
        <v>57</v>
      </c>
      <c r="C120" t="s">
        <v>24</v>
      </c>
      <c r="D120" t="s">
        <v>42</v>
      </c>
      <c r="E120" t="s">
        <v>26</v>
      </c>
      <c r="F120">
        <v>165</v>
      </c>
      <c r="G120">
        <v>31</v>
      </c>
      <c r="H120" t="s">
        <v>21</v>
      </c>
      <c r="I120">
        <v>1200</v>
      </c>
      <c r="J120">
        <v>54700.82</v>
      </c>
      <c r="K120">
        <v>13</v>
      </c>
      <c r="L120">
        <v>16392.13</v>
      </c>
      <c r="M120" t="s">
        <v>60</v>
      </c>
      <c r="N120">
        <f>Table1[[#This Row],[Quantity]]*Table1[[#This Row],[Unit Price (₹)]]</f>
        <v>198000</v>
      </c>
      <c r="O120">
        <f>MAX(0,Table1[[#This Row],[Reorder Level]]-Table1[[#This Row],[Quantity]])</f>
        <v>0</v>
      </c>
      <c r="P120">
        <f>MAX(0,Table1[[#This Row],[Quantity]]-Table1[[#This Row],[Reorder Level]])</f>
        <v>134</v>
      </c>
      <c r="Q120">
        <f>Table1[[#This Row],[Above Reorder QTY]]*Table1[[#This Row],[Unit Price (₹)]]</f>
        <v>160800</v>
      </c>
    </row>
    <row r="121" spans="1:17" x14ac:dyDescent="0.25">
      <c r="A121" s="3">
        <v>45775</v>
      </c>
      <c r="B121" t="s">
        <v>23</v>
      </c>
      <c r="C121" t="s">
        <v>24</v>
      </c>
      <c r="D121" t="s">
        <v>41</v>
      </c>
      <c r="E121" t="s">
        <v>37</v>
      </c>
      <c r="F121">
        <v>92</v>
      </c>
      <c r="G121">
        <v>20</v>
      </c>
      <c r="H121" t="s">
        <v>21</v>
      </c>
      <c r="I121">
        <v>2800</v>
      </c>
      <c r="J121">
        <v>37036.46</v>
      </c>
      <c r="K121">
        <v>1</v>
      </c>
      <c r="L121">
        <v>3128.51</v>
      </c>
      <c r="M121" t="s">
        <v>60</v>
      </c>
      <c r="N121">
        <f>Table1[[#This Row],[Quantity]]*Table1[[#This Row],[Unit Price (₹)]]</f>
        <v>257600</v>
      </c>
      <c r="O121">
        <f>MAX(0,Table1[[#This Row],[Reorder Level]]-Table1[[#This Row],[Quantity]])</f>
        <v>0</v>
      </c>
      <c r="P121">
        <f>MAX(0,Table1[[#This Row],[Quantity]]-Table1[[#This Row],[Reorder Level]])</f>
        <v>72</v>
      </c>
      <c r="Q121">
        <f>Table1[[#This Row],[Above Reorder QTY]]*Table1[[#This Row],[Unit Price (₹)]]</f>
        <v>201600</v>
      </c>
    </row>
    <row r="122" spans="1:17" x14ac:dyDescent="0.25">
      <c r="A122" s="3">
        <v>45776</v>
      </c>
      <c r="B122" t="s">
        <v>53</v>
      </c>
      <c r="C122" t="s">
        <v>28</v>
      </c>
      <c r="D122" t="s">
        <v>19</v>
      </c>
      <c r="E122" t="s">
        <v>35</v>
      </c>
      <c r="F122">
        <v>237</v>
      </c>
      <c r="G122">
        <v>13</v>
      </c>
      <c r="H122" t="s">
        <v>55</v>
      </c>
      <c r="I122">
        <v>120</v>
      </c>
      <c r="J122">
        <v>6571.57</v>
      </c>
      <c r="K122">
        <v>26</v>
      </c>
      <c r="L122">
        <v>3074.55</v>
      </c>
      <c r="M122" t="s">
        <v>60</v>
      </c>
      <c r="N122">
        <f>Table1[[#This Row],[Quantity]]*Table1[[#This Row],[Unit Price (₹)]]</f>
        <v>28440</v>
      </c>
      <c r="O122">
        <f>MAX(0,Table1[[#This Row],[Reorder Level]]-Table1[[#This Row],[Quantity]])</f>
        <v>0</v>
      </c>
      <c r="P122">
        <f>MAX(0,Table1[[#This Row],[Quantity]]-Table1[[#This Row],[Reorder Level]])</f>
        <v>224</v>
      </c>
      <c r="Q122">
        <f>Table1[[#This Row],[Above Reorder QTY]]*Table1[[#This Row],[Unit Price (₹)]]</f>
        <v>26880</v>
      </c>
    </row>
    <row r="123" spans="1:17" x14ac:dyDescent="0.25">
      <c r="A123" s="3">
        <v>45777</v>
      </c>
      <c r="B123" t="s">
        <v>39</v>
      </c>
      <c r="C123" t="s">
        <v>31</v>
      </c>
      <c r="D123" t="s">
        <v>25</v>
      </c>
      <c r="E123" t="s">
        <v>45</v>
      </c>
      <c r="F123">
        <v>117</v>
      </c>
      <c r="G123">
        <v>32</v>
      </c>
      <c r="H123" t="s">
        <v>55</v>
      </c>
      <c r="I123">
        <v>650</v>
      </c>
      <c r="J123">
        <v>2598.42</v>
      </c>
      <c r="K123">
        <v>11</v>
      </c>
      <c r="L123">
        <v>6881.91</v>
      </c>
      <c r="M123" t="s">
        <v>60</v>
      </c>
      <c r="N123">
        <f>Table1[[#This Row],[Quantity]]*Table1[[#This Row],[Unit Price (₹)]]</f>
        <v>76050</v>
      </c>
      <c r="O123">
        <f>MAX(0,Table1[[#This Row],[Reorder Level]]-Table1[[#This Row],[Quantity]])</f>
        <v>0</v>
      </c>
      <c r="P123">
        <f>MAX(0,Table1[[#This Row],[Quantity]]-Table1[[#This Row],[Reorder Level]])</f>
        <v>85</v>
      </c>
      <c r="Q123">
        <f>Table1[[#This Row],[Above Reorder QTY]]*Table1[[#This Row],[Unit Price (₹)]]</f>
        <v>55250</v>
      </c>
    </row>
    <row r="124" spans="1:17" x14ac:dyDescent="0.25">
      <c r="A124" s="3">
        <v>45778</v>
      </c>
      <c r="B124" t="s">
        <v>46</v>
      </c>
      <c r="C124" t="s">
        <v>18</v>
      </c>
      <c r="D124" t="s">
        <v>32</v>
      </c>
      <c r="E124" t="s">
        <v>37</v>
      </c>
      <c r="F124">
        <v>195</v>
      </c>
      <c r="G124">
        <v>45</v>
      </c>
      <c r="H124" t="s">
        <v>55</v>
      </c>
      <c r="I124">
        <v>6000</v>
      </c>
      <c r="J124">
        <v>238500.74</v>
      </c>
      <c r="K124">
        <v>41</v>
      </c>
      <c r="L124">
        <v>254195.04</v>
      </c>
      <c r="M124" t="s">
        <v>62</v>
      </c>
      <c r="N124">
        <f>Table1[[#This Row],[Quantity]]*Table1[[#This Row],[Unit Price (₹)]]</f>
        <v>1170000</v>
      </c>
      <c r="O124">
        <f>MAX(0,Table1[[#This Row],[Reorder Level]]-Table1[[#This Row],[Quantity]])</f>
        <v>0</v>
      </c>
      <c r="P124">
        <f>MAX(0,Table1[[#This Row],[Quantity]]-Table1[[#This Row],[Reorder Level]])</f>
        <v>150</v>
      </c>
      <c r="Q124">
        <f>Table1[[#This Row],[Above Reorder QTY]]*Table1[[#This Row],[Unit Price (₹)]]</f>
        <v>900000</v>
      </c>
    </row>
    <row r="125" spans="1:17" x14ac:dyDescent="0.25">
      <c r="A125" s="3">
        <v>45779</v>
      </c>
      <c r="B125" t="s">
        <v>61</v>
      </c>
      <c r="C125" t="s">
        <v>50</v>
      </c>
      <c r="D125" t="s">
        <v>19</v>
      </c>
      <c r="E125" t="s">
        <v>29</v>
      </c>
      <c r="F125">
        <v>162</v>
      </c>
      <c r="G125">
        <v>31</v>
      </c>
      <c r="H125" t="s">
        <v>55</v>
      </c>
      <c r="I125">
        <v>900</v>
      </c>
      <c r="J125">
        <v>11786.97</v>
      </c>
      <c r="K125">
        <v>26</v>
      </c>
      <c r="L125">
        <v>24123.74</v>
      </c>
      <c r="M125" t="s">
        <v>62</v>
      </c>
      <c r="N125">
        <f>Table1[[#This Row],[Quantity]]*Table1[[#This Row],[Unit Price (₹)]]</f>
        <v>145800</v>
      </c>
      <c r="O125">
        <f>MAX(0,Table1[[#This Row],[Reorder Level]]-Table1[[#This Row],[Quantity]])</f>
        <v>0</v>
      </c>
      <c r="P125">
        <f>MAX(0,Table1[[#This Row],[Quantity]]-Table1[[#This Row],[Reorder Level]])</f>
        <v>131</v>
      </c>
      <c r="Q125">
        <f>Table1[[#This Row],[Above Reorder QTY]]*Table1[[#This Row],[Unit Price (₹)]]</f>
        <v>117900</v>
      </c>
    </row>
    <row r="126" spans="1:17" x14ac:dyDescent="0.25">
      <c r="A126" s="3">
        <v>45780</v>
      </c>
      <c r="B126" t="s">
        <v>51</v>
      </c>
      <c r="C126" t="s">
        <v>18</v>
      </c>
      <c r="D126" t="s">
        <v>41</v>
      </c>
      <c r="E126" t="s">
        <v>29</v>
      </c>
      <c r="F126">
        <v>32</v>
      </c>
      <c r="G126">
        <v>16</v>
      </c>
      <c r="H126" t="s">
        <v>55</v>
      </c>
      <c r="I126">
        <v>450</v>
      </c>
      <c r="J126">
        <v>1274.8599999999999</v>
      </c>
      <c r="K126">
        <v>5</v>
      </c>
      <c r="L126">
        <v>2519.5100000000002</v>
      </c>
      <c r="M126" t="s">
        <v>62</v>
      </c>
      <c r="N126">
        <f>Table1[[#This Row],[Quantity]]*Table1[[#This Row],[Unit Price (₹)]]</f>
        <v>14400</v>
      </c>
      <c r="O126">
        <f>MAX(0,Table1[[#This Row],[Reorder Level]]-Table1[[#This Row],[Quantity]])</f>
        <v>0</v>
      </c>
      <c r="P126">
        <f>MAX(0,Table1[[#This Row],[Quantity]]-Table1[[#This Row],[Reorder Level]])</f>
        <v>16</v>
      </c>
      <c r="Q126">
        <f>Table1[[#This Row],[Above Reorder QTY]]*Table1[[#This Row],[Unit Price (₹)]]</f>
        <v>7200</v>
      </c>
    </row>
    <row r="127" spans="1:17" x14ac:dyDescent="0.25">
      <c r="A127" s="3">
        <v>45781</v>
      </c>
      <c r="B127" t="s">
        <v>51</v>
      </c>
      <c r="C127" t="s">
        <v>18</v>
      </c>
      <c r="D127" t="s">
        <v>32</v>
      </c>
      <c r="E127" t="s">
        <v>45</v>
      </c>
      <c r="F127">
        <v>57</v>
      </c>
      <c r="G127">
        <v>41</v>
      </c>
      <c r="H127" t="s">
        <v>55</v>
      </c>
      <c r="I127">
        <v>450</v>
      </c>
      <c r="J127">
        <v>4602.6499999999996</v>
      </c>
      <c r="K127">
        <v>6</v>
      </c>
      <c r="L127">
        <v>2825.98</v>
      </c>
      <c r="M127" t="s">
        <v>62</v>
      </c>
      <c r="N127">
        <f>Table1[[#This Row],[Quantity]]*Table1[[#This Row],[Unit Price (₹)]]</f>
        <v>25650</v>
      </c>
      <c r="O127">
        <f>MAX(0,Table1[[#This Row],[Reorder Level]]-Table1[[#This Row],[Quantity]])</f>
        <v>0</v>
      </c>
      <c r="P127">
        <f>MAX(0,Table1[[#This Row],[Quantity]]-Table1[[#This Row],[Reorder Level]])</f>
        <v>16</v>
      </c>
      <c r="Q127">
        <f>Table1[[#This Row],[Above Reorder QTY]]*Table1[[#This Row],[Unit Price (₹)]]</f>
        <v>7200</v>
      </c>
    </row>
    <row r="128" spans="1:17" x14ac:dyDescent="0.25">
      <c r="A128" s="3">
        <v>45782</v>
      </c>
      <c r="B128" t="s">
        <v>17</v>
      </c>
      <c r="C128" t="s">
        <v>18</v>
      </c>
      <c r="D128" t="s">
        <v>32</v>
      </c>
      <c r="E128" t="s">
        <v>26</v>
      </c>
      <c r="F128">
        <v>123</v>
      </c>
      <c r="G128">
        <v>32</v>
      </c>
      <c r="H128" t="s">
        <v>55</v>
      </c>
      <c r="I128">
        <v>250</v>
      </c>
      <c r="J128">
        <v>5129.3999999999996</v>
      </c>
      <c r="K128">
        <v>16</v>
      </c>
      <c r="L128">
        <v>4321.49</v>
      </c>
      <c r="M128" t="s">
        <v>62</v>
      </c>
      <c r="N128">
        <f>Table1[[#This Row],[Quantity]]*Table1[[#This Row],[Unit Price (₹)]]</f>
        <v>30750</v>
      </c>
      <c r="O128">
        <f>MAX(0,Table1[[#This Row],[Reorder Level]]-Table1[[#This Row],[Quantity]])</f>
        <v>0</v>
      </c>
      <c r="P128">
        <f>MAX(0,Table1[[#This Row],[Quantity]]-Table1[[#This Row],[Reorder Level]])</f>
        <v>91</v>
      </c>
      <c r="Q128">
        <f>Table1[[#This Row],[Above Reorder QTY]]*Table1[[#This Row],[Unit Price (₹)]]</f>
        <v>22750</v>
      </c>
    </row>
    <row r="129" spans="1:17" x14ac:dyDescent="0.25">
      <c r="A129" s="3">
        <v>45783</v>
      </c>
      <c r="B129" t="s">
        <v>57</v>
      </c>
      <c r="C129" t="s">
        <v>24</v>
      </c>
      <c r="D129" t="s">
        <v>19</v>
      </c>
      <c r="E129" t="s">
        <v>35</v>
      </c>
      <c r="F129">
        <v>21</v>
      </c>
      <c r="G129">
        <v>26</v>
      </c>
      <c r="H129" t="s">
        <v>47</v>
      </c>
      <c r="I129">
        <v>1200</v>
      </c>
      <c r="J129">
        <v>6354.43</v>
      </c>
      <c r="K129">
        <v>2</v>
      </c>
      <c r="L129">
        <v>2697.9</v>
      </c>
      <c r="M129" t="s">
        <v>62</v>
      </c>
      <c r="N129">
        <f>Table1[[#This Row],[Quantity]]*Table1[[#This Row],[Unit Price (₹)]]</f>
        <v>25200</v>
      </c>
      <c r="O129">
        <f>MAX(0,Table1[[#This Row],[Reorder Level]]-Table1[[#This Row],[Quantity]])</f>
        <v>5</v>
      </c>
      <c r="P129">
        <f>MAX(0,Table1[[#This Row],[Quantity]]-Table1[[#This Row],[Reorder Level]])</f>
        <v>0</v>
      </c>
      <c r="Q129">
        <f>Table1[[#This Row],[Above Reorder QTY]]*Table1[[#This Row],[Unit Price (₹)]]</f>
        <v>0</v>
      </c>
    </row>
    <row r="130" spans="1:17" x14ac:dyDescent="0.25">
      <c r="A130" s="3">
        <v>45784</v>
      </c>
      <c r="B130" t="s">
        <v>34</v>
      </c>
      <c r="C130" t="s">
        <v>18</v>
      </c>
      <c r="D130" t="s">
        <v>32</v>
      </c>
      <c r="E130" t="s">
        <v>26</v>
      </c>
      <c r="F130">
        <v>158</v>
      </c>
      <c r="G130">
        <v>16</v>
      </c>
      <c r="H130" t="s">
        <v>55</v>
      </c>
      <c r="I130">
        <v>8500</v>
      </c>
      <c r="J130">
        <v>166545.62</v>
      </c>
      <c r="K130">
        <v>4</v>
      </c>
      <c r="L130">
        <v>37362.21</v>
      </c>
      <c r="M130" t="s">
        <v>62</v>
      </c>
      <c r="N130">
        <f>Table1[[#This Row],[Quantity]]*Table1[[#This Row],[Unit Price (₹)]]</f>
        <v>1343000</v>
      </c>
      <c r="O130">
        <f>MAX(0,Table1[[#This Row],[Reorder Level]]-Table1[[#This Row],[Quantity]])</f>
        <v>0</v>
      </c>
      <c r="P130">
        <f>MAX(0,Table1[[#This Row],[Quantity]]-Table1[[#This Row],[Reorder Level]])</f>
        <v>142</v>
      </c>
      <c r="Q130">
        <f>Table1[[#This Row],[Above Reorder QTY]]*Table1[[#This Row],[Unit Price (₹)]]</f>
        <v>1207000</v>
      </c>
    </row>
    <row r="131" spans="1:17" x14ac:dyDescent="0.25">
      <c r="A131" s="3">
        <v>45785</v>
      </c>
      <c r="B131" t="s">
        <v>53</v>
      </c>
      <c r="C131" t="s">
        <v>28</v>
      </c>
      <c r="D131" t="s">
        <v>44</v>
      </c>
      <c r="E131" t="s">
        <v>37</v>
      </c>
      <c r="F131">
        <v>33</v>
      </c>
      <c r="G131">
        <v>46</v>
      </c>
      <c r="H131" t="s">
        <v>47</v>
      </c>
      <c r="I131">
        <v>120</v>
      </c>
      <c r="J131">
        <v>1072.7</v>
      </c>
      <c r="K131">
        <v>8</v>
      </c>
      <c r="L131">
        <v>980.9</v>
      </c>
      <c r="M131" t="s">
        <v>62</v>
      </c>
      <c r="N131">
        <f>Table1[[#This Row],[Quantity]]*Table1[[#This Row],[Unit Price (₹)]]</f>
        <v>3960</v>
      </c>
      <c r="O131">
        <f>MAX(0,Table1[[#This Row],[Reorder Level]]-Table1[[#This Row],[Quantity]])</f>
        <v>13</v>
      </c>
      <c r="P131">
        <f>MAX(0,Table1[[#This Row],[Quantity]]-Table1[[#This Row],[Reorder Level]])</f>
        <v>0</v>
      </c>
      <c r="Q131">
        <f>Table1[[#This Row],[Above Reorder QTY]]*Table1[[#This Row],[Unit Price (₹)]]</f>
        <v>0</v>
      </c>
    </row>
    <row r="132" spans="1:17" x14ac:dyDescent="0.25">
      <c r="A132" s="3">
        <v>45786</v>
      </c>
      <c r="B132" t="s">
        <v>34</v>
      </c>
      <c r="C132" t="s">
        <v>18</v>
      </c>
      <c r="D132" t="s">
        <v>42</v>
      </c>
      <c r="E132" t="s">
        <v>37</v>
      </c>
      <c r="F132">
        <v>249</v>
      </c>
      <c r="G132">
        <v>25</v>
      </c>
      <c r="H132" t="s">
        <v>55</v>
      </c>
      <c r="I132">
        <v>8500</v>
      </c>
      <c r="J132">
        <v>342988.49</v>
      </c>
      <c r="K132">
        <v>9</v>
      </c>
      <c r="L132">
        <v>84676.64</v>
      </c>
      <c r="M132" t="s">
        <v>62</v>
      </c>
      <c r="N132">
        <f>Table1[[#This Row],[Quantity]]*Table1[[#This Row],[Unit Price (₹)]]</f>
        <v>2116500</v>
      </c>
      <c r="O132">
        <f>MAX(0,Table1[[#This Row],[Reorder Level]]-Table1[[#This Row],[Quantity]])</f>
        <v>0</v>
      </c>
      <c r="P132">
        <f>MAX(0,Table1[[#This Row],[Quantity]]-Table1[[#This Row],[Reorder Level]])</f>
        <v>224</v>
      </c>
      <c r="Q132">
        <f>Table1[[#This Row],[Above Reorder QTY]]*Table1[[#This Row],[Unit Price (₹)]]</f>
        <v>1904000</v>
      </c>
    </row>
    <row r="133" spans="1:17" x14ac:dyDescent="0.25">
      <c r="A133" s="3">
        <v>45787</v>
      </c>
      <c r="B133" t="s">
        <v>56</v>
      </c>
      <c r="C133" t="s">
        <v>28</v>
      </c>
      <c r="D133" t="s">
        <v>32</v>
      </c>
      <c r="E133" t="s">
        <v>29</v>
      </c>
      <c r="F133">
        <v>31</v>
      </c>
      <c r="G133">
        <v>35</v>
      </c>
      <c r="H133" t="s">
        <v>47</v>
      </c>
      <c r="I133">
        <v>1200</v>
      </c>
      <c r="J133">
        <v>2250.27</v>
      </c>
      <c r="K133">
        <v>1</v>
      </c>
      <c r="L133">
        <v>1360.24</v>
      </c>
      <c r="M133" t="s">
        <v>62</v>
      </c>
      <c r="N133">
        <f>Table1[[#This Row],[Quantity]]*Table1[[#This Row],[Unit Price (₹)]]</f>
        <v>37200</v>
      </c>
      <c r="O133">
        <f>MAX(0,Table1[[#This Row],[Reorder Level]]-Table1[[#This Row],[Quantity]])</f>
        <v>4</v>
      </c>
      <c r="P133">
        <f>MAX(0,Table1[[#This Row],[Quantity]]-Table1[[#This Row],[Reorder Level]])</f>
        <v>0</v>
      </c>
      <c r="Q133">
        <f>Table1[[#This Row],[Above Reorder QTY]]*Table1[[#This Row],[Unit Price (₹)]]</f>
        <v>0</v>
      </c>
    </row>
    <row r="134" spans="1:17" x14ac:dyDescent="0.25">
      <c r="A134" s="3">
        <v>45788</v>
      </c>
      <c r="B134" t="s">
        <v>51</v>
      </c>
      <c r="C134" t="s">
        <v>18</v>
      </c>
      <c r="D134" t="s">
        <v>32</v>
      </c>
      <c r="E134" t="s">
        <v>26</v>
      </c>
      <c r="F134">
        <v>152</v>
      </c>
      <c r="G134">
        <v>33</v>
      </c>
      <c r="H134" t="s">
        <v>55</v>
      </c>
      <c r="I134">
        <v>450</v>
      </c>
      <c r="J134">
        <v>6021.48</v>
      </c>
      <c r="K134">
        <v>32</v>
      </c>
      <c r="L134">
        <v>14004</v>
      </c>
      <c r="M134" t="s">
        <v>62</v>
      </c>
      <c r="N134">
        <f>Table1[[#This Row],[Quantity]]*Table1[[#This Row],[Unit Price (₹)]]</f>
        <v>68400</v>
      </c>
      <c r="O134">
        <f>MAX(0,Table1[[#This Row],[Reorder Level]]-Table1[[#This Row],[Quantity]])</f>
        <v>0</v>
      </c>
      <c r="P134">
        <f>MAX(0,Table1[[#This Row],[Quantity]]-Table1[[#This Row],[Reorder Level]])</f>
        <v>119</v>
      </c>
      <c r="Q134">
        <f>Table1[[#This Row],[Above Reorder QTY]]*Table1[[#This Row],[Unit Price (₹)]]</f>
        <v>53550</v>
      </c>
    </row>
    <row r="135" spans="1:17" x14ac:dyDescent="0.25">
      <c r="A135" s="3">
        <v>45789</v>
      </c>
      <c r="B135" t="s">
        <v>54</v>
      </c>
      <c r="C135" t="s">
        <v>50</v>
      </c>
      <c r="D135" t="s">
        <v>32</v>
      </c>
      <c r="E135" t="s">
        <v>29</v>
      </c>
      <c r="F135">
        <v>92</v>
      </c>
      <c r="G135">
        <v>20</v>
      </c>
      <c r="H135" t="s">
        <v>55</v>
      </c>
      <c r="I135">
        <v>1500</v>
      </c>
      <c r="J135">
        <v>13642.5</v>
      </c>
      <c r="K135">
        <v>2</v>
      </c>
      <c r="L135">
        <v>2872.04</v>
      </c>
      <c r="M135" t="s">
        <v>62</v>
      </c>
      <c r="N135">
        <f>Table1[[#This Row],[Quantity]]*Table1[[#This Row],[Unit Price (₹)]]</f>
        <v>138000</v>
      </c>
      <c r="O135">
        <f>MAX(0,Table1[[#This Row],[Reorder Level]]-Table1[[#This Row],[Quantity]])</f>
        <v>0</v>
      </c>
      <c r="P135">
        <f>MAX(0,Table1[[#This Row],[Quantity]]-Table1[[#This Row],[Reorder Level]])</f>
        <v>72</v>
      </c>
      <c r="Q135">
        <f>Table1[[#This Row],[Above Reorder QTY]]*Table1[[#This Row],[Unit Price (₹)]]</f>
        <v>108000</v>
      </c>
    </row>
    <row r="136" spans="1:17" x14ac:dyDescent="0.25">
      <c r="A136" s="3">
        <v>45790</v>
      </c>
      <c r="B136" t="s">
        <v>36</v>
      </c>
      <c r="C136" t="s">
        <v>24</v>
      </c>
      <c r="D136" t="s">
        <v>32</v>
      </c>
      <c r="E136" t="s">
        <v>29</v>
      </c>
      <c r="F136">
        <v>250</v>
      </c>
      <c r="G136">
        <v>28</v>
      </c>
      <c r="H136" t="s">
        <v>55</v>
      </c>
      <c r="I136">
        <v>3500</v>
      </c>
      <c r="J136">
        <v>39361.230000000003</v>
      </c>
      <c r="K136">
        <v>54</v>
      </c>
      <c r="L136">
        <v>180386.95</v>
      </c>
      <c r="M136" t="s">
        <v>62</v>
      </c>
      <c r="N136">
        <f>Table1[[#This Row],[Quantity]]*Table1[[#This Row],[Unit Price (₹)]]</f>
        <v>875000</v>
      </c>
      <c r="O136">
        <f>MAX(0,Table1[[#This Row],[Reorder Level]]-Table1[[#This Row],[Quantity]])</f>
        <v>0</v>
      </c>
      <c r="P136">
        <f>MAX(0,Table1[[#This Row],[Quantity]]-Table1[[#This Row],[Reorder Level]])</f>
        <v>222</v>
      </c>
      <c r="Q136">
        <f>Table1[[#This Row],[Above Reorder QTY]]*Table1[[#This Row],[Unit Price (₹)]]</f>
        <v>777000</v>
      </c>
    </row>
    <row r="137" spans="1:17" x14ac:dyDescent="0.25">
      <c r="A137" s="3">
        <v>45791</v>
      </c>
      <c r="B137" t="s">
        <v>57</v>
      </c>
      <c r="C137" t="s">
        <v>24</v>
      </c>
      <c r="D137" t="s">
        <v>41</v>
      </c>
      <c r="E137" t="s">
        <v>37</v>
      </c>
      <c r="F137">
        <v>172</v>
      </c>
      <c r="G137">
        <v>16</v>
      </c>
      <c r="H137" t="s">
        <v>55</v>
      </c>
      <c r="I137">
        <v>1200</v>
      </c>
      <c r="J137">
        <v>55323.1</v>
      </c>
      <c r="K137">
        <v>28</v>
      </c>
      <c r="L137">
        <v>35372.120000000003</v>
      </c>
      <c r="M137" t="s">
        <v>62</v>
      </c>
      <c r="N137">
        <f>Table1[[#This Row],[Quantity]]*Table1[[#This Row],[Unit Price (₹)]]</f>
        <v>206400</v>
      </c>
      <c r="O137">
        <f>MAX(0,Table1[[#This Row],[Reorder Level]]-Table1[[#This Row],[Quantity]])</f>
        <v>0</v>
      </c>
      <c r="P137">
        <f>MAX(0,Table1[[#This Row],[Quantity]]-Table1[[#This Row],[Reorder Level]])</f>
        <v>156</v>
      </c>
      <c r="Q137">
        <f>Table1[[#This Row],[Above Reorder QTY]]*Table1[[#This Row],[Unit Price (₹)]]</f>
        <v>187200</v>
      </c>
    </row>
    <row r="138" spans="1:17" x14ac:dyDescent="0.25">
      <c r="A138" s="3">
        <v>45792</v>
      </c>
      <c r="B138" t="s">
        <v>23</v>
      </c>
      <c r="C138" t="s">
        <v>24</v>
      </c>
      <c r="D138" t="s">
        <v>25</v>
      </c>
      <c r="E138" t="s">
        <v>29</v>
      </c>
      <c r="F138">
        <v>17</v>
      </c>
      <c r="G138">
        <v>34</v>
      </c>
      <c r="H138" t="s">
        <v>47</v>
      </c>
      <c r="I138">
        <v>2800</v>
      </c>
      <c r="J138">
        <v>4233.37</v>
      </c>
      <c r="K138">
        <v>4</v>
      </c>
      <c r="L138">
        <v>10661.9</v>
      </c>
      <c r="M138" t="s">
        <v>62</v>
      </c>
      <c r="N138">
        <f>Table1[[#This Row],[Quantity]]*Table1[[#This Row],[Unit Price (₹)]]</f>
        <v>47600</v>
      </c>
      <c r="O138">
        <f>MAX(0,Table1[[#This Row],[Reorder Level]]-Table1[[#This Row],[Quantity]])</f>
        <v>17</v>
      </c>
      <c r="P138">
        <f>MAX(0,Table1[[#This Row],[Quantity]]-Table1[[#This Row],[Reorder Level]])</f>
        <v>0</v>
      </c>
      <c r="Q138">
        <f>Table1[[#This Row],[Above Reorder QTY]]*Table1[[#This Row],[Unit Price (₹)]]</f>
        <v>0</v>
      </c>
    </row>
    <row r="139" spans="1:17" x14ac:dyDescent="0.25">
      <c r="A139" s="3">
        <v>45793</v>
      </c>
      <c r="B139" t="s">
        <v>49</v>
      </c>
      <c r="C139" t="s">
        <v>50</v>
      </c>
      <c r="D139" t="s">
        <v>19</v>
      </c>
      <c r="E139" t="s">
        <v>29</v>
      </c>
      <c r="F139">
        <v>232</v>
      </c>
      <c r="G139">
        <v>33</v>
      </c>
      <c r="H139" t="s">
        <v>55</v>
      </c>
      <c r="I139">
        <v>850</v>
      </c>
      <c r="J139">
        <v>27333</v>
      </c>
      <c r="K139">
        <v>36</v>
      </c>
      <c r="L139">
        <v>32736.06</v>
      </c>
      <c r="M139" t="s">
        <v>62</v>
      </c>
      <c r="N139">
        <f>Table1[[#This Row],[Quantity]]*Table1[[#This Row],[Unit Price (₹)]]</f>
        <v>197200</v>
      </c>
      <c r="O139">
        <f>MAX(0,Table1[[#This Row],[Reorder Level]]-Table1[[#This Row],[Quantity]])</f>
        <v>0</v>
      </c>
      <c r="P139">
        <f>MAX(0,Table1[[#This Row],[Quantity]]-Table1[[#This Row],[Reorder Level]])</f>
        <v>199</v>
      </c>
      <c r="Q139">
        <f>Table1[[#This Row],[Above Reorder QTY]]*Table1[[#This Row],[Unit Price (₹)]]</f>
        <v>169150</v>
      </c>
    </row>
    <row r="140" spans="1:17" x14ac:dyDescent="0.25">
      <c r="A140" s="3">
        <v>45794</v>
      </c>
      <c r="B140" t="s">
        <v>56</v>
      </c>
      <c r="C140" t="s">
        <v>28</v>
      </c>
      <c r="D140" t="s">
        <v>32</v>
      </c>
      <c r="E140" t="s">
        <v>45</v>
      </c>
      <c r="F140">
        <v>114</v>
      </c>
      <c r="G140">
        <v>17</v>
      </c>
      <c r="H140" t="s">
        <v>55</v>
      </c>
      <c r="I140">
        <v>1200</v>
      </c>
      <c r="J140">
        <v>2896.05</v>
      </c>
      <c r="K140">
        <v>7</v>
      </c>
      <c r="L140">
        <v>8264.59</v>
      </c>
      <c r="M140" t="s">
        <v>62</v>
      </c>
      <c r="N140">
        <f>Table1[[#This Row],[Quantity]]*Table1[[#This Row],[Unit Price (₹)]]</f>
        <v>136800</v>
      </c>
      <c r="O140">
        <f>MAX(0,Table1[[#This Row],[Reorder Level]]-Table1[[#This Row],[Quantity]])</f>
        <v>0</v>
      </c>
      <c r="P140">
        <f>MAX(0,Table1[[#This Row],[Quantity]]-Table1[[#This Row],[Reorder Level]])</f>
        <v>97</v>
      </c>
      <c r="Q140">
        <f>Table1[[#This Row],[Above Reorder QTY]]*Table1[[#This Row],[Unit Price (₹)]]</f>
        <v>116400</v>
      </c>
    </row>
    <row r="141" spans="1:17" x14ac:dyDescent="0.25">
      <c r="A141" s="3">
        <v>45795</v>
      </c>
      <c r="B141" t="s">
        <v>23</v>
      </c>
      <c r="C141" t="s">
        <v>24</v>
      </c>
      <c r="D141" t="s">
        <v>32</v>
      </c>
      <c r="E141" t="s">
        <v>37</v>
      </c>
      <c r="F141">
        <v>130</v>
      </c>
      <c r="G141">
        <v>16</v>
      </c>
      <c r="H141" t="s">
        <v>55</v>
      </c>
      <c r="I141">
        <v>2800</v>
      </c>
      <c r="J141">
        <v>84218.21</v>
      </c>
      <c r="K141">
        <v>2</v>
      </c>
      <c r="L141">
        <v>5834.79</v>
      </c>
      <c r="M141" t="s">
        <v>62</v>
      </c>
      <c r="N141">
        <f>Table1[[#This Row],[Quantity]]*Table1[[#This Row],[Unit Price (₹)]]</f>
        <v>364000</v>
      </c>
      <c r="O141">
        <f>MAX(0,Table1[[#This Row],[Reorder Level]]-Table1[[#This Row],[Quantity]])</f>
        <v>0</v>
      </c>
      <c r="P141">
        <f>MAX(0,Table1[[#This Row],[Quantity]]-Table1[[#This Row],[Reorder Level]])</f>
        <v>114</v>
      </c>
      <c r="Q141">
        <f>Table1[[#This Row],[Above Reorder QTY]]*Table1[[#This Row],[Unit Price (₹)]]</f>
        <v>319200</v>
      </c>
    </row>
    <row r="142" spans="1:17" x14ac:dyDescent="0.25">
      <c r="A142" s="3">
        <v>45796</v>
      </c>
      <c r="B142" t="s">
        <v>53</v>
      </c>
      <c r="C142" t="s">
        <v>28</v>
      </c>
      <c r="D142" t="s">
        <v>44</v>
      </c>
      <c r="E142" t="s">
        <v>26</v>
      </c>
      <c r="F142">
        <v>205</v>
      </c>
      <c r="G142">
        <v>11</v>
      </c>
      <c r="H142" t="s">
        <v>55</v>
      </c>
      <c r="I142">
        <v>120</v>
      </c>
      <c r="J142">
        <v>1809.49</v>
      </c>
      <c r="K142">
        <v>12</v>
      </c>
      <c r="L142">
        <v>1451.5</v>
      </c>
      <c r="M142" t="s">
        <v>62</v>
      </c>
      <c r="N142">
        <f>Table1[[#This Row],[Quantity]]*Table1[[#This Row],[Unit Price (₹)]]</f>
        <v>24600</v>
      </c>
      <c r="O142">
        <f>MAX(0,Table1[[#This Row],[Reorder Level]]-Table1[[#This Row],[Quantity]])</f>
        <v>0</v>
      </c>
      <c r="P142">
        <f>MAX(0,Table1[[#This Row],[Quantity]]-Table1[[#This Row],[Reorder Level]])</f>
        <v>194</v>
      </c>
      <c r="Q142">
        <f>Table1[[#This Row],[Above Reorder QTY]]*Table1[[#This Row],[Unit Price (₹)]]</f>
        <v>23280</v>
      </c>
    </row>
    <row r="143" spans="1:17" x14ac:dyDescent="0.25">
      <c r="A143" s="3">
        <v>45797</v>
      </c>
      <c r="B143" t="s">
        <v>34</v>
      </c>
      <c r="C143" t="s">
        <v>18</v>
      </c>
      <c r="D143" t="s">
        <v>32</v>
      </c>
      <c r="E143" t="s">
        <v>29</v>
      </c>
      <c r="F143">
        <v>206</v>
      </c>
      <c r="G143">
        <v>26</v>
      </c>
      <c r="H143" t="s">
        <v>55</v>
      </c>
      <c r="I143">
        <v>8500</v>
      </c>
      <c r="J143">
        <v>438566.71</v>
      </c>
      <c r="K143">
        <v>28</v>
      </c>
      <c r="L143">
        <v>235992.43</v>
      </c>
      <c r="M143" t="s">
        <v>62</v>
      </c>
      <c r="N143">
        <f>Table1[[#This Row],[Quantity]]*Table1[[#This Row],[Unit Price (₹)]]</f>
        <v>1751000</v>
      </c>
      <c r="O143">
        <f>MAX(0,Table1[[#This Row],[Reorder Level]]-Table1[[#This Row],[Quantity]])</f>
        <v>0</v>
      </c>
      <c r="P143">
        <f>MAX(0,Table1[[#This Row],[Quantity]]-Table1[[#This Row],[Reorder Level]])</f>
        <v>180</v>
      </c>
      <c r="Q143">
        <f>Table1[[#This Row],[Above Reorder QTY]]*Table1[[#This Row],[Unit Price (₹)]]</f>
        <v>1530000</v>
      </c>
    </row>
    <row r="144" spans="1:17" x14ac:dyDescent="0.25">
      <c r="A144" s="3">
        <v>45798</v>
      </c>
      <c r="B144" t="s">
        <v>49</v>
      </c>
      <c r="C144" t="s">
        <v>50</v>
      </c>
      <c r="D144" t="s">
        <v>32</v>
      </c>
      <c r="E144" t="s">
        <v>20</v>
      </c>
      <c r="F144">
        <v>239</v>
      </c>
      <c r="G144">
        <v>48</v>
      </c>
      <c r="H144" t="s">
        <v>55</v>
      </c>
      <c r="I144">
        <v>850</v>
      </c>
      <c r="J144">
        <v>10618.29</v>
      </c>
      <c r="K144">
        <v>15</v>
      </c>
      <c r="L144">
        <v>14372.24</v>
      </c>
      <c r="M144" t="s">
        <v>62</v>
      </c>
      <c r="N144">
        <f>Table1[[#This Row],[Quantity]]*Table1[[#This Row],[Unit Price (₹)]]</f>
        <v>203150</v>
      </c>
      <c r="O144">
        <f>MAX(0,Table1[[#This Row],[Reorder Level]]-Table1[[#This Row],[Quantity]])</f>
        <v>0</v>
      </c>
      <c r="P144">
        <f>MAX(0,Table1[[#This Row],[Quantity]]-Table1[[#This Row],[Reorder Level]])</f>
        <v>191</v>
      </c>
      <c r="Q144">
        <f>Table1[[#This Row],[Above Reorder QTY]]*Table1[[#This Row],[Unit Price (₹)]]</f>
        <v>162350</v>
      </c>
    </row>
    <row r="145" spans="1:17" x14ac:dyDescent="0.25">
      <c r="A145" s="3">
        <v>45799</v>
      </c>
      <c r="B145" t="s">
        <v>40</v>
      </c>
      <c r="C145" t="s">
        <v>31</v>
      </c>
      <c r="D145" t="s">
        <v>42</v>
      </c>
      <c r="E145" t="s">
        <v>29</v>
      </c>
      <c r="F145">
        <v>105</v>
      </c>
      <c r="G145">
        <v>11</v>
      </c>
      <c r="H145" t="s">
        <v>55</v>
      </c>
      <c r="I145">
        <v>1400</v>
      </c>
      <c r="J145">
        <v>22306.19</v>
      </c>
      <c r="K145">
        <v>26</v>
      </c>
      <c r="L145">
        <v>41428.660000000003</v>
      </c>
      <c r="M145" t="s">
        <v>62</v>
      </c>
      <c r="N145">
        <f>Table1[[#This Row],[Quantity]]*Table1[[#This Row],[Unit Price (₹)]]</f>
        <v>147000</v>
      </c>
      <c r="O145">
        <f>MAX(0,Table1[[#This Row],[Reorder Level]]-Table1[[#This Row],[Quantity]])</f>
        <v>0</v>
      </c>
      <c r="P145">
        <f>MAX(0,Table1[[#This Row],[Quantity]]-Table1[[#This Row],[Reorder Level]])</f>
        <v>94</v>
      </c>
      <c r="Q145">
        <f>Table1[[#This Row],[Above Reorder QTY]]*Table1[[#This Row],[Unit Price (₹)]]</f>
        <v>131600</v>
      </c>
    </row>
    <row r="146" spans="1:17" x14ac:dyDescent="0.25">
      <c r="A146" s="3">
        <v>45800</v>
      </c>
      <c r="B146" t="s">
        <v>40</v>
      </c>
      <c r="C146" t="s">
        <v>31</v>
      </c>
      <c r="D146" t="s">
        <v>25</v>
      </c>
      <c r="E146" t="s">
        <v>45</v>
      </c>
      <c r="F146">
        <v>228</v>
      </c>
      <c r="G146">
        <v>44</v>
      </c>
      <c r="H146" t="s">
        <v>55</v>
      </c>
      <c r="I146">
        <v>1400</v>
      </c>
      <c r="J146">
        <v>30067.83</v>
      </c>
      <c r="K146">
        <v>25</v>
      </c>
      <c r="L146">
        <v>36041.75</v>
      </c>
      <c r="M146" t="s">
        <v>62</v>
      </c>
      <c r="N146">
        <f>Table1[[#This Row],[Quantity]]*Table1[[#This Row],[Unit Price (₹)]]</f>
        <v>319200</v>
      </c>
      <c r="O146">
        <f>MAX(0,Table1[[#This Row],[Reorder Level]]-Table1[[#This Row],[Quantity]])</f>
        <v>0</v>
      </c>
      <c r="P146">
        <f>MAX(0,Table1[[#This Row],[Quantity]]-Table1[[#This Row],[Reorder Level]])</f>
        <v>184</v>
      </c>
      <c r="Q146">
        <f>Table1[[#This Row],[Above Reorder QTY]]*Table1[[#This Row],[Unit Price (₹)]]</f>
        <v>257600</v>
      </c>
    </row>
    <row r="147" spans="1:17" x14ac:dyDescent="0.25">
      <c r="A147" s="3">
        <v>45801</v>
      </c>
      <c r="B147" t="s">
        <v>49</v>
      </c>
      <c r="C147" t="s">
        <v>50</v>
      </c>
      <c r="D147" t="s">
        <v>44</v>
      </c>
      <c r="E147" t="s">
        <v>26</v>
      </c>
      <c r="F147">
        <v>46</v>
      </c>
      <c r="G147">
        <v>21</v>
      </c>
      <c r="H147" t="s">
        <v>55</v>
      </c>
      <c r="I147">
        <v>850</v>
      </c>
      <c r="J147">
        <v>4066.21</v>
      </c>
      <c r="K147">
        <v>5</v>
      </c>
      <c r="L147">
        <v>4217.28</v>
      </c>
      <c r="M147" t="s">
        <v>62</v>
      </c>
      <c r="N147">
        <f>Table1[[#This Row],[Quantity]]*Table1[[#This Row],[Unit Price (₹)]]</f>
        <v>39100</v>
      </c>
      <c r="O147">
        <f>MAX(0,Table1[[#This Row],[Reorder Level]]-Table1[[#This Row],[Quantity]])</f>
        <v>0</v>
      </c>
      <c r="P147">
        <f>MAX(0,Table1[[#This Row],[Quantity]]-Table1[[#This Row],[Reorder Level]])</f>
        <v>25</v>
      </c>
      <c r="Q147">
        <f>Table1[[#This Row],[Above Reorder QTY]]*Table1[[#This Row],[Unit Price (₹)]]</f>
        <v>21250</v>
      </c>
    </row>
    <row r="148" spans="1:17" x14ac:dyDescent="0.25">
      <c r="A148" s="3">
        <v>45802</v>
      </c>
      <c r="B148" t="s">
        <v>38</v>
      </c>
      <c r="C148" t="s">
        <v>18</v>
      </c>
      <c r="D148" t="s">
        <v>25</v>
      </c>
      <c r="E148" t="s">
        <v>35</v>
      </c>
      <c r="F148">
        <v>56</v>
      </c>
      <c r="G148">
        <v>38</v>
      </c>
      <c r="H148" t="s">
        <v>55</v>
      </c>
      <c r="I148">
        <v>4500</v>
      </c>
      <c r="J148">
        <v>3592.05</v>
      </c>
      <c r="K148">
        <v>6</v>
      </c>
      <c r="L148">
        <v>26911.27</v>
      </c>
      <c r="M148" t="s">
        <v>62</v>
      </c>
      <c r="N148">
        <f>Table1[[#This Row],[Quantity]]*Table1[[#This Row],[Unit Price (₹)]]</f>
        <v>252000</v>
      </c>
      <c r="O148">
        <f>MAX(0,Table1[[#This Row],[Reorder Level]]-Table1[[#This Row],[Quantity]])</f>
        <v>0</v>
      </c>
      <c r="P148">
        <f>MAX(0,Table1[[#This Row],[Quantity]]-Table1[[#This Row],[Reorder Level]])</f>
        <v>18</v>
      </c>
      <c r="Q148">
        <f>Table1[[#This Row],[Above Reorder QTY]]*Table1[[#This Row],[Unit Price (₹)]]</f>
        <v>81000</v>
      </c>
    </row>
    <row r="149" spans="1:17" x14ac:dyDescent="0.25">
      <c r="A149" s="3">
        <v>45803</v>
      </c>
      <c r="B149" t="s">
        <v>17</v>
      </c>
      <c r="C149" t="s">
        <v>18</v>
      </c>
      <c r="D149" t="s">
        <v>41</v>
      </c>
      <c r="E149" t="s">
        <v>33</v>
      </c>
      <c r="F149">
        <v>18</v>
      </c>
      <c r="G149">
        <v>25</v>
      </c>
      <c r="H149" t="s">
        <v>55</v>
      </c>
      <c r="I149">
        <v>250</v>
      </c>
      <c r="J149">
        <v>437.89</v>
      </c>
      <c r="K149">
        <v>3</v>
      </c>
      <c r="L149">
        <v>730.19</v>
      </c>
      <c r="M149" t="s">
        <v>62</v>
      </c>
      <c r="N149">
        <f>Table1[[#This Row],[Quantity]]*Table1[[#This Row],[Unit Price (₹)]]</f>
        <v>4500</v>
      </c>
      <c r="O149">
        <f>MAX(0,Table1[[#This Row],[Reorder Level]]-Table1[[#This Row],[Quantity]])</f>
        <v>7</v>
      </c>
      <c r="P149">
        <f>MAX(0,Table1[[#This Row],[Quantity]]-Table1[[#This Row],[Reorder Level]])</f>
        <v>0</v>
      </c>
      <c r="Q149">
        <f>Table1[[#This Row],[Above Reorder QTY]]*Table1[[#This Row],[Unit Price (₹)]]</f>
        <v>0</v>
      </c>
    </row>
    <row r="150" spans="1:17" x14ac:dyDescent="0.25">
      <c r="A150" s="3">
        <v>45804</v>
      </c>
      <c r="B150" t="s">
        <v>56</v>
      </c>
      <c r="C150" t="s">
        <v>28</v>
      </c>
      <c r="D150" t="s">
        <v>19</v>
      </c>
      <c r="E150" t="s">
        <v>45</v>
      </c>
      <c r="F150">
        <v>128</v>
      </c>
      <c r="G150">
        <v>28</v>
      </c>
      <c r="H150" t="s">
        <v>55</v>
      </c>
      <c r="I150">
        <v>1200</v>
      </c>
      <c r="J150">
        <v>17187.759999999998</v>
      </c>
      <c r="K150">
        <v>23</v>
      </c>
      <c r="L150">
        <v>30671.86</v>
      </c>
      <c r="M150" t="s">
        <v>62</v>
      </c>
      <c r="N150">
        <f>Table1[[#This Row],[Quantity]]*Table1[[#This Row],[Unit Price (₹)]]</f>
        <v>153600</v>
      </c>
      <c r="O150">
        <f>MAX(0,Table1[[#This Row],[Reorder Level]]-Table1[[#This Row],[Quantity]])</f>
        <v>0</v>
      </c>
      <c r="P150">
        <f>MAX(0,Table1[[#This Row],[Quantity]]-Table1[[#This Row],[Reorder Level]])</f>
        <v>100</v>
      </c>
      <c r="Q150">
        <f>Table1[[#This Row],[Above Reorder QTY]]*Table1[[#This Row],[Unit Price (₹)]]</f>
        <v>120000</v>
      </c>
    </row>
    <row r="151" spans="1:17" x14ac:dyDescent="0.25">
      <c r="A151" s="3">
        <v>45805</v>
      </c>
      <c r="B151" t="s">
        <v>30</v>
      </c>
      <c r="C151" t="s">
        <v>31</v>
      </c>
      <c r="D151" t="s">
        <v>42</v>
      </c>
      <c r="E151" t="s">
        <v>26</v>
      </c>
      <c r="F151">
        <v>86</v>
      </c>
      <c r="G151">
        <v>14</v>
      </c>
      <c r="H151" t="s">
        <v>55</v>
      </c>
      <c r="I151">
        <v>1100</v>
      </c>
      <c r="J151">
        <v>8593.64</v>
      </c>
      <c r="K151">
        <v>9</v>
      </c>
      <c r="L151">
        <v>11362.08</v>
      </c>
      <c r="M151" t="s">
        <v>62</v>
      </c>
      <c r="N151">
        <f>Table1[[#This Row],[Quantity]]*Table1[[#This Row],[Unit Price (₹)]]</f>
        <v>94600</v>
      </c>
      <c r="O151">
        <f>MAX(0,Table1[[#This Row],[Reorder Level]]-Table1[[#This Row],[Quantity]])</f>
        <v>0</v>
      </c>
      <c r="P151">
        <f>MAX(0,Table1[[#This Row],[Quantity]]-Table1[[#This Row],[Reorder Level]])</f>
        <v>72</v>
      </c>
      <c r="Q151">
        <f>Table1[[#This Row],[Above Reorder QTY]]*Table1[[#This Row],[Unit Price (₹)]]</f>
        <v>79200</v>
      </c>
    </row>
    <row r="152" spans="1:17" x14ac:dyDescent="0.25">
      <c r="A152" s="3">
        <v>45806</v>
      </c>
      <c r="B152" t="s">
        <v>49</v>
      </c>
      <c r="C152" t="s">
        <v>50</v>
      </c>
      <c r="D152" t="s">
        <v>44</v>
      </c>
      <c r="E152" t="s">
        <v>29</v>
      </c>
      <c r="F152">
        <v>40</v>
      </c>
      <c r="G152">
        <v>17</v>
      </c>
      <c r="H152" t="s">
        <v>55</v>
      </c>
      <c r="I152">
        <v>850</v>
      </c>
      <c r="J152">
        <v>8000.05</v>
      </c>
      <c r="K152">
        <v>9</v>
      </c>
      <c r="L152">
        <v>7523.71</v>
      </c>
      <c r="M152" t="s">
        <v>62</v>
      </c>
      <c r="N152">
        <f>Table1[[#This Row],[Quantity]]*Table1[[#This Row],[Unit Price (₹)]]</f>
        <v>34000</v>
      </c>
      <c r="O152">
        <f>MAX(0,Table1[[#This Row],[Reorder Level]]-Table1[[#This Row],[Quantity]])</f>
        <v>0</v>
      </c>
      <c r="P152">
        <f>MAX(0,Table1[[#This Row],[Quantity]]-Table1[[#This Row],[Reorder Level]])</f>
        <v>23</v>
      </c>
      <c r="Q152">
        <f>Table1[[#This Row],[Above Reorder QTY]]*Table1[[#This Row],[Unit Price (₹)]]</f>
        <v>19550</v>
      </c>
    </row>
    <row r="153" spans="1:17" x14ac:dyDescent="0.25">
      <c r="A153" s="3">
        <v>45807</v>
      </c>
      <c r="B153" t="s">
        <v>61</v>
      </c>
      <c r="C153" t="s">
        <v>50</v>
      </c>
      <c r="D153" t="s">
        <v>32</v>
      </c>
      <c r="E153" t="s">
        <v>37</v>
      </c>
      <c r="F153">
        <v>248</v>
      </c>
      <c r="G153">
        <v>16</v>
      </c>
      <c r="H153" t="s">
        <v>55</v>
      </c>
      <c r="I153">
        <v>900</v>
      </c>
      <c r="J153">
        <v>6440.37</v>
      </c>
      <c r="K153">
        <v>38</v>
      </c>
      <c r="L153">
        <v>33590.06</v>
      </c>
      <c r="M153" t="s">
        <v>62</v>
      </c>
      <c r="N153">
        <f>Table1[[#This Row],[Quantity]]*Table1[[#This Row],[Unit Price (₹)]]</f>
        <v>223200</v>
      </c>
      <c r="O153">
        <f>MAX(0,Table1[[#This Row],[Reorder Level]]-Table1[[#This Row],[Quantity]])</f>
        <v>0</v>
      </c>
      <c r="P153">
        <f>MAX(0,Table1[[#This Row],[Quantity]]-Table1[[#This Row],[Reorder Level]])</f>
        <v>232</v>
      </c>
      <c r="Q153">
        <f>Table1[[#This Row],[Above Reorder QTY]]*Table1[[#This Row],[Unit Price (₹)]]</f>
        <v>208800</v>
      </c>
    </row>
    <row r="154" spans="1:17" x14ac:dyDescent="0.25">
      <c r="A154" s="3">
        <v>45808</v>
      </c>
      <c r="B154" t="s">
        <v>40</v>
      </c>
      <c r="C154" t="s">
        <v>31</v>
      </c>
      <c r="D154" t="s">
        <v>41</v>
      </c>
      <c r="E154" t="s">
        <v>35</v>
      </c>
      <c r="F154">
        <v>14</v>
      </c>
      <c r="G154">
        <v>17</v>
      </c>
      <c r="H154" t="s">
        <v>47</v>
      </c>
      <c r="I154">
        <v>1400</v>
      </c>
      <c r="J154">
        <v>2563.67</v>
      </c>
      <c r="K154">
        <v>2</v>
      </c>
      <c r="L154">
        <v>2871.68</v>
      </c>
      <c r="M154" t="s">
        <v>62</v>
      </c>
      <c r="N154">
        <f>Table1[[#This Row],[Quantity]]*Table1[[#This Row],[Unit Price (₹)]]</f>
        <v>19600</v>
      </c>
      <c r="O154">
        <f>MAX(0,Table1[[#This Row],[Reorder Level]]-Table1[[#This Row],[Quantity]])</f>
        <v>3</v>
      </c>
      <c r="P154">
        <f>MAX(0,Table1[[#This Row],[Quantity]]-Table1[[#This Row],[Reorder Level]])</f>
        <v>0</v>
      </c>
      <c r="Q154">
        <f>Table1[[#This Row],[Above Reorder QTY]]*Table1[[#This Row],[Unit Price (₹)]]</f>
        <v>0</v>
      </c>
    </row>
    <row r="155" spans="1:17" x14ac:dyDescent="0.25">
      <c r="A155" s="3">
        <v>45809</v>
      </c>
      <c r="B155" t="s">
        <v>23</v>
      </c>
      <c r="C155" t="s">
        <v>24</v>
      </c>
      <c r="D155" t="s">
        <v>41</v>
      </c>
      <c r="E155" t="s">
        <v>33</v>
      </c>
      <c r="F155">
        <v>79</v>
      </c>
      <c r="G155">
        <v>22</v>
      </c>
      <c r="H155" t="s">
        <v>55</v>
      </c>
      <c r="I155">
        <v>2800</v>
      </c>
      <c r="J155">
        <v>40947.31</v>
      </c>
      <c r="K155">
        <v>8</v>
      </c>
      <c r="L155">
        <v>24393.07</v>
      </c>
      <c r="M155" t="s">
        <v>63</v>
      </c>
      <c r="N155">
        <f>Table1[[#This Row],[Quantity]]*Table1[[#This Row],[Unit Price (₹)]]</f>
        <v>221200</v>
      </c>
      <c r="O155">
        <f>MAX(0,Table1[[#This Row],[Reorder Level]]-Table1[[#This Row],[Quantity]])</f>
        <v>0</v>
      </c>
      <c r="P155">
        <f>MAX(0,Table1[[#This Row],[Quantity]]-Table1[[#This Row],[Reorder Level]])</f>
        <v>57</v>
      </c>
      <c r="Q155">
        <f>Table1[[#This Row],[Above Reorder QTY]]*Table1[[#This Row],[Unit Price (₹)]]</f>
        <v>159600</v>
      </c>
    </row>
    <row r="156" spans="1:17" x14ac:dyDescent="0.25">
      <c r="A156" s="3">
        <v>45810</v>
      </c>
      <c r="B156" t="s">
        <v>39</v>
      </c>
      <c r="C156" t="s">
        <v>31</v>
      </c>
      <c r="D156" t="s">
        <v>19</v>
      </c>
      <c r="E156" t="s">
        <v>29</v>
      </c>
      <c r="F156">
        <v>176</v>
      </c>
      <c r="G156">
        <v>17</v>
      </c>
      <c r="H156" t="s">
        <v>55</v>
      </c>
      <c r="I156">
        <v>650</v>
      </c>
      <c r="J156">
        <v>16361.27</v>
      </c>
      <c r="K156">
        <v>42</v>
      </c>
      <c r="L156">
        <v>28705.99</v>
      </c>
      <c r="M156" t="s">
        <v>63</v>
      </c>
      <c r="N156">
        <f>Table1[[#This Row],[Quantity]]*Table1[[#This Row],[Unit Price (₹)]]</f>
        <v>114400</v>
      </c>
      <c r="O156">
        <f>MAX(0,Table1[[#This Row],[Reorder Level]]-Table1[[#This Row],[Quantity]])</f>
        <v>0</v>
      </c>
      <c r="P156">
        <f>MAX(0,Table1[[#This Row],[Quantity]]-Table1[[#This Row],[Reorder Level]])</f>
        <v>159</v>
      </c>
      <c r="Q156">
        <f>Table1[[#This Row],[Above Reorder QTY]]*Table1[[#This Row],[Unit Price (₹)]]</f>
        <v>103350</v>
      </c>
    </row>
    <row r="157" spans="1:17" x14ac:dyDescent="0.25">
      <c r="A157" s="3">
        <v>45811</v>
      </c>
      <c r="B157" t="s">
        <v>58</v>
      </c>
      <c r="C157" t="s">
        <v>28</v>
      </c>
      <c r="D157" t="s">
        <v>25</v>
      </c>
      <c r="E157" t="s">
        <v>26</v>
      </c>
      <c r="F157">
        <v>123</v>
      </c>
      <c r="G157">
        <v>21</v>
      </c>
      <c r="H157" t="s">
        <v>55</v>
      </c>
      <c r="I157">
        <v>3000</v>
      </c>
      <c r="J157">
        <v>86069.78</v>
      </c>
      <c r="K157">
        <v>27</v>
      </c>
      <c r="L157">
        <v>81300.7</v>
      </c>
      <c r="M157" t="s">
        <v>63</v>
      </c>
      <c r="N157">
        <f>Table1[[#This Row],[Quantity]]*Table1[[#This Row],[Unit Price (₹)]]</f>
        <v>369000</v>
      </c>
      <c r="O157">
        <f>MAX(0,Table1[[#This Row],[Reorder Level]]-Table1[[#This Row],[Quantity]])</f>
        <v>0</v>
      </c>
      <c r="P157">
        <f>MAX(0,Table1[[#This Row],[Quantity]]-Table1[[#This Row],[Reorder Level]])</f>
        <v>102</v>
      </c>
      <c r="Q157">
        <f>Table1[[#This Row],[Above Reorder QTY]]*Table1[[#This Row],[Unit Price (₹)]]</f>
        <v>306000</v>
      </c>
    </row>
    <row r="158" spans="1:17" x14ac:dyDescent="0.25">
      <c r="A158" s="3">
        <v>45812</v>
      </c>
      <c r="B158" t="s">
        <v>46</v>
      </c>
      <c r="C158" t="s">
        <v>18</v>
      </c>
      <c r="D158" t="s">
        <v>32</v>
      </c>
      <c r="E158" t="s">
        <v>33</v>
      </c>
      <c r="F158">
        <v>38</v>
      </c>
      <c r="G158">
        <v>31</v>
      </c>
      <c r="H158" t="s">
        <v>55</v>
      </c>
      <c r="I158">
        <v>6000</v>
      </c>
      <c r="J158">
        <v>56336.84</v>
      </c>
      <c r="K158">
        <v>5</v>
      </c>
      <c r="L158">
        <v>32919.21</v>
      </c>
      <c r="M158" t="s">
        <v>63</v>
      </c>
      <c r="N158">
        <f>Table1[[#This Row],[Quantity]]*Table1[[#This Row],[Unit Price (₹)]]</f>
        <v>228000</v>
      </c>
      <c r="O158">
        <f>MAX(0,Table1[[#This Row],[Reorder Level]]-Table1[[#This Row],[Quantity]])</f>
        <v>0</v>
      </c>
      <c r="P158">
        <f>MAX(0,Table1[[#This Row],[Quantity]]-Table1[[#This Row],[Reorder Level]])</f>
        <v>7</v>
      </c>
      <c r="Q158">
        <f>Table1[[#This Row],[Above Reorder QTY]]*Table1[[#This Row],[Unit Price (₹)]]</f>
        <v>42000</v>
      </c>
    </row>
    <row r="159" spans="1:17" x14ac:dyDescent="0.25">
      <c r="A159" s="3">
        <v>45813</v>
      </c>
      <c r="B159" t="s">
        <v>40</v>
      </c>
      <c r="C159" t="s">
        <v>31</v>
      </c>
      <c r="D159" t="s">
        <v>32</v>
      </c>
      <c r="E159" t="s">
        <v>35</v>
      </c>
      <c r="F159">
        <v>52</v>
      </c>
      <c r="G159">
        <v>14</v>
      </c>
      <c r="H159" t="s">
        <v>55</v>
      </c>
      <c r="I159">
        <v>1400</v>
      </c>
      <c r="J159">
        <v>11663.86</v>
      </c>
      <c r="K159">
        <v>11</v>
      </c>
      <c r="L159">
        <v>15874.75</v>
      </c>
      <c r="M159" t="s">
        <v>63</v>
      </c>
      <c r="N159">
        <f>Table1[[#This Row],[Quantity]]*Table1[[#This Row],[Unit Price (₹)]]</f>
        <v>72800</v>
      </c>
      <c r="O159">
        <f>MAX(0,Table1[[#This Row],[Reorder Level]]-Table1[[#This Row],[Quantity]])</f>
        <v>0</v>
      </c>
      <c r="P159">
        <f>MAX(0,Table1[[#This Row],[Quantity]]-Table1[[#This Row],[Reorder Level]])</f>
        <v>38</v>
      </c>
      <c r="Q159">
        <f>Table1[[#This Row],[Above Reorder QTY]]*Table1[[#This Row],[Unit Price (₹)]]</f>
        <v>53200</v>
      </c>
    </row>
    <row r="160" spans="1:17" x14ac:dyDescent="0.25">
      <c r="A160" s="3">
        <v>45814</v>
      </c>
      <c r="B160" t="s">
        <v>58</v>
      </c>
      <c r="C160" t="s">
        <v>28</v>
      </c>
      <c r="D160" t="s">
        <v>32</v>
      </c>
      <c r="E160" t="s">
        <v>33</v>
      </c>
      <c r="F160">
        <v>111</v>
      </c>
      <c r="G160">
        <v>10</v>
      </c>
      <c r="H160" t="s">
        <v>55</v>
      </c>
      <c r="I160">
        <v>3000</v>
      </c>
      <c r="J160">
        <v>88747.05</v>
      </c>
      <c r="K160">
        <v>22</v>
      </c>
      <c r="L160">
        <v>71460.47</v>
      </c>
      <c r="M160" t="s">
        <v>63</v>
      </c>
      <c r="N160">
        <f>Table1[[#This Row],[Quantity]]*Table1[[#This Row],[Unit Price (₹)]]</f>
        <v>333000</v>
      </c>
      <c r="O160">
        <f>MAX(0,Table1[[#This Row],[Reorder Level]]-Table1[[#This Row],[Quantity]])</f>
        <v>0</v>
      </c>
      <c r="P160">
        <f>MAX(0,Table1[[#This Row],[Quantity]]-Table1[[#This Row],[Reorder Level]])</f>
        <v>101</v>
      </c>
      <c r="Q160">
        <f>Table1[[#This Row],[Above Reorder QTY]]*Table1[[#This Row],[Unit Price (₹)]]</f>
        <v>303000</v>
      </c>
    </row>
    <row r="161" spans="1:17" x14ac:dyDescent="0.25">
      <c r="A161" s="3">
        <v>45815</v>
      </c>
      <c r="B161" t="s">
        <v>38</v>
      </c>
      <c r="C161" t="s">
        <v>18</v>
      </c>
      <c r="D161" t="s">
        <v>25</v>
      </c>
      <c r="E161" t="s">
        <v>29</v>
      </c>
      <c r="F161">
        <v>222</v>
      </c>
      <c r="G161">
        <v>42</v>
      </c>
      <c r="H161" t="s">
        <v>55</v>
      </c>
      <c r="I161">
        <v>4500</v>
      </c>
      <c r="J161">
        <v>48999.34</v>
      </c>
      <c r="K161">
        <v>1</v>
      </c>
      <c r="L161">
        <v>4325.74</v>
      </c>
      <c r="M161" t="s">
        <v>63</v>
      </c>
      <c r="N161">
        <f>Table1[[#This Row],[Quantity]]*Table1[[#This Row],[Unit Price (₹)]]</f>
        <v>999000</v>
      </c>
      <c r="O161">
        <f>MAX(0,Table1[[#This Row],[Reorder Level]]-Table1[[#This Row],[Quantity]])</f>
        <v>0</v>
      </c>
      <c r="P161">
        <f>MAX(0,Table1[[#This Row],[Quantity]]-Table1[[#This Row],[Reorder Level]])</f>
        <v>180</v>
      </c>
      <c r="Q161">
        <f>Table1[[#This Row],[Above Reorder QTY]]*Table1[[#This Row],[Unit Price (₹)]]</f>
        <v>810000</v>
      </c>
    </row>
    <row r="162" spans="1:17" x14ac:dyDescent="0.25">
      <c r="A162" s="3">
        <v>45816</v>
      </c>
      <c r="B162" t="s">
        <v>39</v>
      </c>
      <c r="C162" t="s">
        <v>31</v>
      </c>
      <c r="D162" t="s">
        <v>32</v>
      </c>
      <c r="E162" t="s">
        <v>45</v>
      </c>
      <c r="F162">
        <v>204</v>
      </c>
      <c r="G162">
        <v>50</v>
      </c>
      <c r="H162" t="s">
        <v>55</v>
      </c>
      <c r="I162">
        <v>650</v>
      </c>
      <c r="J162">
        <v>16028.32</v>
      </c>
      <c r="K162">
        <v>17</v>
      </c>
      <c r="L162">
        <v>10922.5</v>
      </c>
      <c r="M162" t="s">
        <v>63</v>
      </c>
      <c r="N162">
        <f>Table1[[#This Row],[Quantity]]*Table1[[#This Row],[Unit Price (₹)]]</f>
        <v>132600</v>
      </c>
      <c r="O162">
        <f>MAX(0,Table1[[#This Row],[Reorder Level]]-Table1[[#This Row],[Quantity]])</f>
        <v>0</v>
      </c>
      <c r="P162">
        <f>MAX(0,Table1[[#This Row],[Quantity]]-Table1[[#This Row],[Reorder Level]])</f>
        <v>154</v>
      </c>
      <c r="Q162">
        <f>Table1[[#This Row],[Above Reorder QTY]]*Table1[[#This Row],[Unit Price (₹)]]</f>
        <v>100100</v>
      </c>
    </row>
    <row r="163" spans="1:17" x14ac:dyDescent="0.25">
      <c r="A163" s="3">
        <v>45817</v>
      </c>
      <c r="B163" t="s">
        <v>58</v>
      </c>
      <c r="C163" t="s">
        <v>28</v>
      </c>
      <c r="D163" t="s">
        <v>41</v>
      </c>
      <c r="E163" t="s">
        <v>33</v>
      </c>
      <c r="F163">
        <v>167</v>
      </c>
      <c r="G163">
        <v>25</v>
      </c>
      <c r="H163" t="s">
        <v>55</v>
      </c>
      <c r="I163">
        <v>3000</v>
      </c>
      <c r="J163">
        <v>84324.5</v>
      </c>
      <c r="K163">
        <v>12</v>
      </c>
      <c r="L163">
        <v>38781.599999999999</v>
      </c>
      <c r="M163" t="s">
        <v>63</v>
      </c>
      <c r="N163">
        <f>Table1[[#This Row],[Quantity]]*Table1[[#This Row],[Unit Price (₹)]]</f>
        <v>501000</v>
      </c>
      <c r="O163">
        <f>MAX(0,Table1[[#This Row],[Reorder Level]]-Table1[[#This Row],[Quantity]])</f>
        <v>0</v>
      </c>
      <c r="P163">
        <f>MAX(0,Table1[[#This Row],[Quantity]]-Table1[[#This Row],[Reorder Level]])</f>
        <v>142</v>
      </c>
      <c r="Q163">
        <f>Table1[[#This Row],[Above Reorder QTY]]*Table1[[#This Row],[Unit Price (₹)]]</f>
        <v>426000</v>
      </c>
    </row>
    <row r="164" spans="1:17" x14ac:dyDescent="0.25">
      <c r="A164" s="3">
        <v>45818</v>
      </c>
      <c r="B164" t="s">
        <v>38</v>
      </c>
      <c r="C164" t="s">
        <v>18</v>
      </c>
      <c r="D164" t="s">
        <v>32</v>
      </c>
      <c r="E164" t="s">
        <v>35</v>
      </c>
      <c r="F164">
        <v>119</v>
      </c>
      <c r="G164">
        <v>49</v>
      </c>
      <c r="H164" t="s">
        <v>55</v>
      </c>
      <c r="I164">
        <v>4500</v>
      </c>
      <c r="J164">
        <v>26654.27</v>
      </c>
      <c r="K164">
        <v>18</v>
      </c>
      <c r="L164">
        <v>91828.96</v>
      </c>
      <c r="M164" t="s">
        <v>63</v>
      </c>
      <c r="N164">
        <f>Table1[[#This Row],[Quantity]]*Table1[[#This Row],[Unit Price (₹)]]</f>
        <v>535500</v>
      </c>
      <c r="O164">
        <f>MAX(0,Table1[[#This Row],[Reorder Level]]-Table1[[#This Row],[Quantity]])</f>
        <v>0</v>
      </c>
      <c r="P164">
        <f>MAX(0,Table1[[#This Row],[Quantity]]-Table1[[#This Row],[Reorder Level]])</f>
        <v>70</v>
      </c>
      <c r="Q164">
        <f>Table1[[#This Row],[Above Reorder QTY]]*Table1[[#This Row],[Unit Price (₹)]]</f>
        <v>315000</v>
      </c>
    </row>
    <row r="165" spans="1:17" x14ac:dyDescent="0.25">
      <c r="A165" s="3">
        <v>45819</v>
      </c>
      <c r="B165" t="s">
        <v>53</v>
      </c>
      <c r="C165" t="s">
        <v>28</v>
      </c>
      <c r="D165" t="s">
        <v>32</v>
      </c>
      <c r="E165" t="s">
        <v>20</v>
      </c>
      <c r="F165">
        <v>69</v>
      </c>
      <c r="G165">
        <v>21</v>
      </c>
      <c r="H165" t="s">
        <v>55</v>
      </c>
      <c r="I165">
        <v>120</v>
      </c>
      <c r="J165">
        <v>1201.6300000000001</v>
      </c>
      <c r="K165">
        <v>2</v>
      </c>
      <c r="L165">
        <v>258.26</v>
      </c>
      <c r="M165" t="s">
        <v>63</v>
      </c>
      <c r="N165">
        <f>Table1[[#This Row],[Quantity]]*Table1[[#This Row],[Unit Price (₹)]]</f>
        <v>8280</v>
      </c>
      <c r="O165">
        <f>MAX(0,Table1[[#This Row],[Reorder Level]]-Table1[[#This Row],[Quantity]])</f>
        <v>0</v>
      </c>
      <c r="P165">
        <f>MAX(0,Table1[[#This Row],[Quantity]]-Table1[[#This Row],[Reorder Level]])</f>
        <v>48</v>
      </c>
      <c r="Q165">
        <f>Table1[[#This Row],[Above Reorder QTY]]*Table1[[#This Row],[Unit Price (₹)]]</f>
        <v>5760</v>
      </c>
    </row>
    <row r="166" spans="1:17" x14ac:dyDescent="0.25">
      <c r="A166" s="3">
        <v>45820</v>
      </c>
      <c r="B166" t="s">
        <v>53</v>
      </c>
      <c r="C166" t="s">
        <v>28</v>
      </c>
      <c r="D166" t="s">
        <v>32</v>
      </c>
      <c r="E166" t="s">
        <v>26</v>
      </c>
      <c r="F166">
        <v>160</v>
      </c>
      <c r="G166">
        <v>24</v>
      </c>
      <c r="H166" t="s">
        <v>55</v>
      </c>
      <c r="I166">
        <v>120</v>
      </c>
      <c r="J166">
        <v>100.85</v>
      </c>
      <c r="K166">
        <v>35</v>
      </c>
      <c r="L166">
        <v>4774.46</v>
      </c>
      <c r="M166" t="s">
        <v>63</v>
      </c>
      <c r="N166">
        <f>Table1[[#This Row],[Quantity]]*Table1[[#This Row],[Unit Price (₹)]]</f>
        <v>19200</v>
      </c>
      <c r="O166">
        <f>MAX(0,Table1[[#This Row],[Reorder Level]]-Table1[[#This Row],[Quantity]])</f>
        <v>0</v>
      </c>
      <c r="P166">
        <f>MAX(0,Table1[[#This Row],[Quantity]]-Table1[[#This Row],[Reorder Level]])</f>
        <v>136</v>
      </c>
      <c r="Q166">
        <f>Table1[[#This Row],[Above Reorder QTY]]*Table1[[#This Row],[Unit Price (₹)]]</f>
        <v>16320</v>
      </c>
    </row>
    <row r="167" spans="1:17" x14ac:dyDescent="0.25">
      <c r="A167" s="3">
        <v>45821</v>
      </c>
      <c r="B167" t="s">
        <v>58</v>
      </c>
      <c r="C167" t="s">
        <v>28</v>
      </c>
      <c r="D167" t="s">
        <v>41</v>
      </c>
      <c r="E167" t="s">
        <v>35</v>
      </c>
      <c r="F167">
        <v>114</v>
      </c>
      <c r="G167">
        <v>49</v>
      </c>
      <c r="H167" t="s">
        <v>55</v>
      </c>
      <c r="I167">
        <v>3000</v>
      </c>
      <c r="J167">
        <v>70002.820000000007</v>
      </c>
      <c r="K167">
        <v>3</v>
      </c>
      <c r="L167">
        <v>9097.25</v>
      </c>
      <c r="M167" t="s">
        <v>63</v>
      </c>
      <c r="N167">
        <f>Table1[[#This Row],[Quantity]]*Table1[[#This Row],[Unit Price (₹)]]</f>
        <v>342000</v>
      </c>
      <c r="O167">
        <f>MAX(0,Table1[[#This Row],[Reorder Level]]-Table1[[#This Row],[Quantity]])</f>
        <v>0</v>
      </c>
      <c r="P167">
        <f>MAX(0,Table1[[#This Row],[Quantity]]-Table1[[#This Row],[Reorder Level]])</f>
        <v>65</v>
      </c>
      <c r="Q167">
        <f>Table1[[#This Row],[Above Reorder QTY]]*Table1[[#This Row],[Unit Price (₹)]]</f>
        <v>195000</v>
      </c>
    </row>
    <row r="168" spans="1:17" x14ac:dyDescent="0.25">
      <c r="A168" s="3">
        <v>45822</v>
      </c>
      <c r="B168" t="s">
        <v>23</v>
      </c>
      <c r="C168" t="s">
        <v>24</v>
      </c>
      <c r="D168" t="s">
        <v>32</v>
      </c>
      <c r="E168" t="s">
        <v>29</v>
      </c>
      <c r="F168">
        <v>155</v>
      </c>
      <c r="G168">
        <v>34</v>
      </c>
      <c r="H168" t="s">
        <v>55</v>
      </c>
      <c r="I168">
        <v>2800</v>
      </c>
      <c r="J168">
        <v>13558.22</v>
      </c>
      <c r="K168">
        <v>37</v>
      </c>
      <c r="L168">
        <v>114847.63</v>
      </c>
      <c r="M168" t="s">
        <v>63</v>
      </c>
      <c r="N168">
        <f>Table1[[#This Row],[Quantity]]*Table1[[#This Row],[Unit Price (₹)]]</f>
        <v>434000</v>
      </c>
      <c r="O168">
        <f>MAX(0,Table1[[#This Row],[Reorder Level]]-Table1[[#This Row],[Quantity]])</f>
        <v>0</v>
      </c>
      <c r="P168">
        <f>MAX(0,Table1[[#This Row],[Quantity]]-Table1[[#This Row],[Reorder Level]])</f>
        <v>121</v>
      </c>
      <c r="Q168">
        <f>Table1[[#This Row],[Above Reorder QTY]]*Table1[[#This Row],[Unit Price (₹)]]</f>
        <v>338800</v>
      </c>
    </row>
    <row r="169" spans="1:17" x14ac:dyDescent="0.25">
      <c r="A169" s="3">
        <v>45823</v>
      </c>
      <c r="B169" t="s">
        <v>38</v>
      </c>
      <c r="C169" t="s">
        <v>18</v>
      </c>
      <c r="D169" t="s">
        <v>42</v>
      </c>
      <c r="E169" t="s">
        <v>45</v>
      </c>
      <c r="F169">
        <v>134</v>
      </c>
      <c r="G169">
        <v>41</v>
      </c>
      <c r="H169" t="s">
        <v>55</v>
      </c>
      <c r="I169">
        <v>4500</v>
      </c>
      <c r="J169">
        <v>99987.88</v>
      </c>
      <c r="K169">
        <v>24</v>
      </c>
      <c r="L169">
        <v>121534.85</v>
      </c>
      <c r="M169" t="s">
        <v>63</v>
      </c>
      <c r="N169">
        <f>Table1[[#This Row],[Quantity]]*Table1[[#This Row],[Unit Price (₹)]]</f>
        <v>603000</v>
      </c>
      <c r="O169">
        <f>MAX(0,Table1[[#This Row],[Reorder Level]]-Table1[[#This Row],[Quantity]])</f>
        <v>0</v>
      </c>
      <c r="P169">
        <f>MAX(0,Table1[[#This Row],[Quantity]]-Table1[[#This Row],[Reorder Level]])</f>
        <v>93</v>
      </c>
      <c r="Q169">
        <f>Table1[[#This Row],[Above Reorder QTY]]*Table1[[#This Row],[Unit Price (₹)]]</f>
        <v>418500</v>
      </c>
    </row>
    <row r="170" spans="1:17" x14ac:dyDescent="0.25">
      <c r="A170" s="3">
        <v>45824</v>
      </c>
      <c r="B170" t="s">
        <v>58</v>
      </c>
      <c r="C170" t="s">
        <v>28</v>
      </c>
      <c r="D170" t="s">
        <v>19</v>
      </c>
      <c r="E170" t="s">
        <v>33</v>
      </c>
      <c r="F170">
        <v>215</v>
      </c>
      <c r="G170">
        <v>21</v>
      </c>
      <c r="H170" t="s">
        <v>55</v>
      </c>
      <c r="I170">
        <v>3000</v>
      </c>
      <c r="J170">
        <v>68642.17</v>
      </c>
      <c r="K170">
        <v>24</v>
      </c>
      <c r="L170">
        <v>75799.679999999993</v>
      </c>
      <c r="M170" t="s">
        <v>63</v>
      </c>
      <c r="N170">
        <f>Table1[[#This Row],[Quantity]]*Table1[[#This Row],[Unit Price (₹)]]</f>
        <v>645000</v>
      </c>
      <c r="O170">
        <f>MAX(0,Table1[[#This Row],[Reorder Level]]-Table1[[#This Row],[Quantity]])</f>
        <v>0</v>
      </c>
      <c r="P170">
        <f>MAX(0,Table1[[#This Row],[Quantity]]-Table1[[#This Row],[Reorder Level]])</f>
        <v>194</v>
      </c>
      <c r="Q170">
        <f>Table1[[#This Row],[Above Reorder QTY]]*Table1[[#This Row],[Unit Price (₹)]]</f>
        <v>582000</v>
      </c>
    </row>
    <row r="171" spans="1:17" x14ac:dyDescent="0.25">
      <c r="A171" s="3">
        <v>45825</v>
      </c>
      <c r="B171" t="s">
        <v>53</v>
      </c>
      <c r="C171" t="s">
        <v>28</v>
      </c>
      <c r="D171" t="s">
        <v>32</v>
      </c>
      <c r="E171" t="s">
        <v>29</v>
      </c>
      <c r="F171">
        <v>108</v>
      </c>
      <c r="G171">
        <v>27</v>
      </c>
      <c r="H171" t="s">
        <v>55</v>
      </c>
      <c r="I171">
        <v>120</v>
      </c>
      <c r="J171">
        <v>2124.7199999999998</v>
      </c>
      <c r="K171">
        <v>17</v>
      </c>
      <c r="L171">
        <v>2264.88</v>
      </c>
      <c r="M171" t="s">
        <v>63</v>
      </c>
      <c r="N171">
        <f>Table1[[#This Row],[Quantity]]*Table1[[#This Row],[Unit Price (₹)]]</f>
        <v>12960</v>
      </c>
      <c r="O171">
        <f>MAX(0,Table1[[#This Row],[Reorder Level]]-Table1[[#This Row],[Quantity]])</f>
        <v>0</v>
      </c>
      <c r="P171">
        <f>MAX(0,Table1[[#This Row],[Quantity]]-Table1[[#This Row],[Reorder Level]])</f>
        <v>81</v>
      </c>
      <c r="Q171">
        <f>Table1[[#This Row],[Above Reorder QTY]]*Table1[[#This Row],[Unit Price (₹)]]</f>
        <v>9720</v>
      </c>
    </row>
    <row r="172" spans="1:17" x14ac:dyDescent="0.25">
      <c r="A172" s="3">
        <v>45826</v>
      </c>
      <c r="B172" t="s">
        <v>39</v>
      </c>
      <c r="C172" t="s">
        <v>31</v>
      </c>
      <c r="D172" t="s">
        <v>44</v>
      </c>
      <c r="E172" t="s">
        <v>35</v>
      </c>
      <c r="F172">
        <v>165</v>
      </c>
      <c r="G172">
        <v>20</v>
      </c>
      <c r="H172" t="s">
        <v>55</v>
      </c>
      <c r="I172">
        <v>650</v>
      </c>
      <c r="J172">
        <v>13402.8</v>
      </c>
      <c r="K172">
        <v>8</v>
      </c>
      <c r="L172">
        <v>5325.96</v>
      </c>
      <c r="M172" t="s">
        <v>63</v>
      </c>
      <c r="N172">
        <f>Table1[[#This Row],[Quantity]]*Table1[[#This Row],[Unit Price (₹)]]</f>
        <v>107250</v>
      </c>
      <c r="O172">
        <f>MAX(0,Table1[[#This Row],[Reorder Level]]-Table1[[#This Row],[Quantity]])</f>
        <v>0</v>
      </c>
      <c r="P172">
        <f>MAX(0,Table1[[#This Row],[Quantity]]-Table1[[#This Row],[Reorder Level]])</f>
        <v>145</v>
      </c>
      <c r="Q172">
        <f>Table1[[#This Row],[Above Reorder QTY]]*Table1[[#This Row],[Unit Price (₹)]]</f>
        <v>94250</v>
      </c>
    </row>
    <row r="173" spans="1:17" x14ac:dyDescent="0.25">
      <c r="A173" s="3">
        <v>45827</v>
      </c>
      <c r="B173" t="s">
        <v>56</v>
      </c>
      <c r="C173" t="s">
        <v>28</v>
      </c>
      <c r="D173" t="s">
        <v>25</v>
      </c>
      <c r="E173" t="s">
        <v>35</v>
      </c>
      <c r="F173">
        <v>234</v>
      </c>
      <c r="G173">
        <v>40</v>
      </c>
      <c r="H173" t="s">
        <v>55</v>
      </c>
      <c r="I173">
        <v>1200</v>
      </c>
      <c r="J173">
        <v>50575.199999999997</v>
      </c>
      <c r="K173">
        <v>11</v>
      </c>
      <c r="L173">
        <v>13330.53</v>
      </c>
      <c r="M173" t="s">
        <v>63</v>
      </c>
      <c r="N173">
        <f>Table1[[#This Row],[Quantity]]*Table1[[#This Row],[Unit Price (₹)]]</f>
        <v>280800</v>
      </c>
      <c r="O173">
        <f>MAX(0,Table1[[#This Row],[Reorder Level]]-Table1[[#This Row],[Quantity]])</f>
        <v>0</v>
      </c>
      <c r="P173">
        <f>MAX(0,Table1[[#This Row],[Quantity]]-Table1[[#This Row],[Reorder Level]])</f>
        <v>194</v>
      </c>
      <c r="Q173">
        <f>Table1[[#This Row],[Above Reorder QTY]]*Table1[[#This Row],[Unit Price (₹)]]</f>
        <v>232800</v>
      </c>
    </row>
    <row r="174" spans="1:17" x14ac:dyDescent="0.25">
      <c r="A174" s="3">
        <v>45828</v>
      </c>
      <c r="B174" t="s">
        <v>39</v>
      </c>
      <c r="C174" t="s">
        <v>31</v>
      </c>
      <c r="D174" t="s">
        <v>32</v>
      </c>
      <c r="E174" t="s">
        <v>29</v>
      </c>
      <c r="F174">
        <v>94</v>
      </c>
      <c r="G174">
        <v>20</v>
      </c>
      <c r="H174" t="s">
        <v>55</v>
      </c>
      <c r="I174">
        <v>650</v>
      </c>
      <c r="J174">
        <v>6166.65</v>
      </c>
      <c r="K174">
        <v>3</v>
      </c>
      <c r="L174">
        <v>1920.7</v>
      </c>
      <c r="M174" t="s">
        <v>63</v>
      </c>
      <c r="N174">
        <f>Table1[[#This Row],[Quantity]]*Table1[[#This Row],[Unit Price (₹)]]</f>
        <v>61100</v>
      </c>
      <c r="O174">
        <f>MAX(0,Table1[[#This Row],[Reorder Level]]-Table1[[#This Row],[Quantity]])</f>
        <v>0</v>
      </c>
      <c r="P174">
        <f>MAX(0,Table1[[#This Row],[Quantity]]-Table1[[#This Row],[Reorder Level]])</f>
        <v>74</v>
      </c>
      <c r="Q174">
        <f>Table1[[#This Row],[Above Reorder QTY]]*Table1[[#This Row],[Unit Price (₹)]]</f>
        <v>48100</v>
      </c>
    </row>
    <row r="175" spans="1:17" x14ac:dyDescent="0.25">
      <c r="A175" s="3">
        <v>45829</v>
      </c>
      <c r="B175" t="s">
        <v>40</v>
      </c>
      <c r="C175" t="s">
        <v>31</v>
      </c>
      <c r="D175" t="s">
        <v>32</v>
      </c>
      <c r="E175" t="s">
        <v>33</v>
      </c>
      <c r="F175">
        <v>219</v>
      </c>
      <c r="G175">
        <v>38</v>
      </c>
      <c r="H175" t="s">
        <v>55</v>
      </c>
      <c r="I175">
        <v>1400</v>
      </c>
      <c r="J175">
        <v>3595.42</v>
      </c>
      <c r="K175">
        <v>37</v>
      </c>
      <c r="L175">
        <v>53779.09</v>
      </c>
      <c r="M175" t="s">
        <v>63</v>
      </c>
      <c r="N175">
        <f>Table1[[#This Row],[Quantity]]*Table1[[#This Row],[Unit Price (₹)]]</f>
        <v>306600</v>
      </c>
      <c r="O175">
        <f>MAX(0,Table1[[#This Row],[Reorder Level]]-Table1[[#This Row],[Quantity]])</f>
        <v>0</v>
      </c>
      <c r="P175">
        <f>MAX(0,Table1[[#This Row],[Quantity]]-Table1[[#This Row],[Reorder Level]])</f>
        <v>181</v>
      </c>
      <c r="Q175">
        <f>Table1[[#This Row],[Above Reorder QTY]]*Table1[[#This Row],[Unit Price (₹)]]</f>
        <v>253400</v>
      </c>
    </row>
    <row r="176" spans="1:17" x14ac:dyDescent="0.25">
      <c r="A176" s="3">
        <v>45830</v>
      </c>
      <c r="B176" t="s">
        <v>30</v>
      </c>
      <c r="C176" t="s">
        <v>31</v>
      </c>
      <c r="D176" t="s">
        <v>32</v>
      </c>
      <c r="E176" t="s">
        <v>35</v>
      </c>
      <c r="F176">
        <v>249</v>
      </c>
      <c r="G176">
        <v>42</v>
      </c>
      <c r="H176" t="s">
        <v>55</v>
      </c>
      <c r="I176">
        <v>1100</v>
      </c>
      <c r="J176">
        <v>26343.05</v>
      </c>
      <c r="K176">
        <v>31</v>
      </c>
      <c r="L176">
        <v>34806.400000000001</v>
      </c>
      <c r="M176" t="s">
        <v>63</v>
      </c>
      <c r="N176">
        <f>Table1[[#This Row],[Quantity]]*Table1[[#This Row],[Unit Price (₹)]]</f>
        <v>273900</v>
      </c>
      <c r="O176">
        <f>MAX(0,Table1[[#This Row],[Reorder Level]]-Table1[[#This Row],[Quantity]])</f>
        <v>0</v>
      </c>
      <c r="P176">
        <f>MAX(0,Table1[[#This Row],[Quantity]]-Table1[[#This Row],[Reorder Level]])</f>
        <v>207</v>
      </c>
      <c r="Q176">
        <f>Table1[[#This Row],[Above Reorder QTY]]*Table1[[#This Row],[Unit Price (₹)]]</f>
        <v>227700</v>
      </c>
    </row>
    <row r="177" spans="1:17" x14ac:dyDescent="0.25">
      <c r="A177" s="3">
        <v>45831</v>
      </c>
      <c r="B177" t="s">
        <v>27</v>
      </c>
      <c r="C177" t="s">
        <v>28</v>
      </c>
      <c r="D177" t="s">
        <v>42</v>
      </c>
      <c r="E177" t="s">
        <v>26</v>
      </c>
      <c r="F177">
        <v>117</v>
      </c>
      <c r="G177">
        <v>11</v>
      </c>
      <c r="H177" t="s">
        <v>55</v>
      </c>
      <c r="I177">
        <v>18</v>
      </c>
      <c r="J177">
        <v>425.12</v>
      </c>
      <c r="K177">
        <v>3</v>
      </c>
      <c r="L177">
        <v>54.37</v>
      </c>
      <c r="M177" t="s">
        <v>63</v>
      </c>
      <c r="N177">
        <f>Table1[[#This Row],[Quantity]]*Table1[[#This Row],[Unit Price (₹)]]</f>
        <v>2106</v>
      </c>
      <c r="O177">
        <f>MAX(0,Table1[[#This Row],[Reorder Level]]-Table1[[#This Row],[Quantity]])</f>
        <v>0</v>
      </c>
      <c r="P177">
        <f>MAX(0,Table1[[#This Row],[Quantity]]-Table1[[#This Row],[Reorder Level]])</f>
        <v>106</v>
      </c>
      <c r="Q177">
        <f>Table1[[#This Row],[Above Reorder QTY]]*Table1[[#This Row],[Unit Price (₹)]]</f>
        <v>1908</v>
      </c>
    </row>
    <row r="178" spans="1:17" x14ac:dyDescent="0.25">
      <c r="A178" s="3">
        <v>45832</v>
      </c>
      <c r="B178" t="s">
        <v>17</v>
      </c>
      <c r="C178" t="s">
        <v>18</v>
      </c>
      <c r="D178" t="s">
        <v>41</v>
      </c>
      <c r="E178" t="s">
        <v>33</v>
      </c>
      <c r="F178">
        <v>182</v>
      </c>
      <c r="G178">
        <v>37</v>
      </c>
      <c r="H178" t="s">
        <v>55</v>
      </c>
      <c r="I178">
        <v>250</v>
      </c>
      <c r="J178">
        <v>9795.36</v>
      </c>
      <c r="K178">
        <v>25</v>
      </c>
      <c r="L178">
        <v>7103.4</v>
      </c>
      <c r="M178" t="s">
        <v>63</v>
      </c>
      <c r="N178">
        <f>Table1[[#This Row],[Quantity]]*Table1[[#This Row],[Unit Price (₹)]]</f>
        <v>45500</v>
      </c>
      <c r="O178">
        <f>MAX(0,Table1[[#This Row],[Reorder Level]]-Table1[[#This Row],[Quantity]])</f>
        <v>0</v>
      </c>
      <c r="P178">
        <f>MAX(0,Table1[[#This Row],[Quantity]]-Table1[[#This Row],[Reorder Level]])</f>
        <v>145</v>
      </c>
      <c r="Q178">
        <f>Table1[[#This Row],[Above Reorder QTY]]*Table1[[#This Row],[Unit Price (₹)]]</f>
        <v>36250</v>
      </c>
    </row>
    <row r="179" spans="1:17" x14ac:dyDescent="0.25">
      <c r="A179" s="3">
        <v>45833</v>
      </c>
      <c r="B179" t="s">
        <v>46</v>
      </c>
      <c r="C179" t="s">
        <v>18</v>
      </c>
      <c r="D179" t="s">
        <v>41</v>
      </c>
      <c r="E179" t="s">
        <v>20</v>
      </c>
      <c r="F179">
        <v>50</v>
      </c>
      <c r="G179">
        <v>45</v>
      </c>
      <c r="H179" t="s">
        <v>55</v>
      </c>
      <c r="I179">
        <v>6000</v>
      </c>
      <c r="J179">
        <v>43263.42</v>
      </c>
      <c r="K179">
        <v>7</v>
      </c>
      <c r="L179">
        <v>43319.44</v>
      </c>
      <c r="M179" t="s">
        <v>63</v>
      </c>
      <c r="N179">
        <f>Table1[[#This Row],[Quantity]]*Table1[[#This Row],[Unit Price (₹)]]</f>
        <v>300000</v>
      </c>
      <c r="O179">
        <f>MAX(0,Table1[[#This Row],[Reorder Level]]-Table1[[#This Row],[Quantity]])</f>
        <v>0</v>
      </c>
      <c r="P179">
        <f>MAX(0,Table1[[#This Row],[Quantity]]-Table1[[#This Row],[Reorder Level]])</f>
        <v>5</v>
      </c>
      <c r="Q179">
        <f>Table1[[#This Row],[Above Reorder QTY]]*Table1[[#This Row],[Unit Price (₹)]]</f>
        <v>30000</v>
      </c>
    </row>
    <row r="180" spans="1:17" x14ac:dyDescent="0.25">
      <c r="A180" s="3">
        <v>45834</v>
      </c>
      <c r="B180" t="s">
        <v>43</v>
      </c>
      <c r="C180" t="s">
        <v>24</v>
      </c>
      <c r="D180" t="s">
        <v>19</v>
      </c>
      <c r="E180" t="s">
        <v>33</v>
      </c>
      <c r="F180">
        <v>55</v>
      </c>
      <c r="G180">
        <v>19</v>
      </c>
      <c r="H180" t="s">
        <v>55</v>
      </c>
      <c r="I180">
        <v>2200</v>
      </c>
      <c r="J180">
        <v>8176.35</v>
      </c>
      <c r="K180">
        <v>8</v>
      </c>
      <c r="L180">
        <v>17091.7</v>
      </c>
      <c r="M180" t="s">
        <v>63</v>
      </c>
      <c r="N180">
        <f>Table1[[#This Row],[Quantity]]*Table1[[#This Row],[Unit Price (₹)]]</f>
        <v>121000</v>
      </c>
      <c r="O180">
        <f>MAX(0,Table1[[#This Row],[Reorder Level]]-Table1[[#This Row],[Quantity]])</f>
        <v>0</v>
      </c>
      <c r="P180">
        <f>MAX(0,Table1[[#This Row],[Quantity]]-Table1[[#This Row],[Reorder Level]])</f>
        <v>36</v>
      </c>
      <c r="Q180">
        <f>Table1[[#This Row],[Above Reorder QTY]]*Table1[[#This Row],[Unit Price (₹)]]</f>
        <v>79200</v>
      </c>
    </row>
    <row r="181" spans="1:17" x14ac:dyDescent="0.25">
      <c r="A181" s="3">
        <v>45835</v>
      </c>
      <c r="B181" t="s">
        <v>23</v>
      </c>
      <c r="C181" t="s">
        <v>24</v>
      </c>
      <c r="D181" t="s">
        <v>41</v>
      </c>
      <c r="E181" t="s">
        <v>33</v>
      </c>
      <c r="F181">
        <v>7</v>
      </c>
      <c r="G181">
        <v>13</v>
      </c>
      <c r="H181" t="s">
        <v>47</v>
      </c>
      <c r="I181">
        <v>2800</v>
      </c>
      <c r="J181">
        <v>5014.7700000000004</v>
      </c>
      <c r="K181">
        <v>1</v>
      </c>
      <c r="L181">
        <v>3100.44</v>
      </c>
      <c r="M181" t="s">
        <v>63</v>
      </c>
      <c r="N181">
        <f>Table1[[#This Row],[Quantity]]*Table1[[#This Row],[Unit Price (₹)]]</f>
        <v>19600</v>
      </c>
      <c r="O181">
        <f>MAX(0,Table1[[#This Row],[Reorder Level]]-Table1[[#This Row],[Quantity]])</f>
        <v>6</v>
      </c>
      <c r="P181">
        <f>MAX(0,Table1[[#This Row],[Quantity]]-Table1[[#This Row],[Reorder Level]])</f>
        <v>0</v>
      </c>
      <c r="Q181">
        <f>Table1[[#This Row],[Above Reorder QTY]]*Table1[[#This Row],[Unit Price (₹)]]</f>
        <v>0</v>
      </c>
    </row>
    <row r="182" spans="1:17" x14ac:dyDescent="0.25">
      <c r="A182" s="3">
        <v>45836</v>
      </c>
      <c r="B182" t="s">
        <v>58</v>
      </c>
      <c r="C182" t="s">
        <v>28</v>
      </c>
      <c r="D182" t="s">
        <v>32</v>
      </c>
      <c r="E182" t="s">
        <v>37</v>
      </c>
      <c r="F182">
        <v>136</v>
      </c>
      <c r="G182">
        <v>20</v>
      </c>
      <c r="H182" t="s">
        <v>55</v>
      </c>
      <c r="I182">
        <v>3000</v>
      </c>
      <c r="J182">
        <v>77492.63</v>
      </c>
      <c r="K182">
        <v>15</v>
      </c>
      <c r="L182">
        <v>47979.13</v>
      </c>
      <c r="M182" t="s">
        <v>63</v>
      </c>
      <c r="N182">
        <f>Table1[[#This Row],[Quantity]]*Table1[[#This Row],[Unit Price (₹)]]</f>
        <v>408000</v>
      </c>
      <c r="O182">
        <f>MAX(0,Table1[[#This Row],[Reorder Level]]-Table1[[#This Row],[Quantity]])</f>
        <v>0</v>
      </c>
      <c r="P182">
        <f>MAX(0,Table1[[#This Row],[Quantity]]-Table1[[#This Row],[Reorder Level]])</f>
        <v>116</v>
      </c>
      <c r="Q182">
        <f>Table1[[#This Row],[Above Reorder QTY]]*Table1[[#This Row],[Unit Price (₹)]]</f>
        <v>348000</v>
      </c>
    </row>
    <row r="183" spans="1:17" x14ac:dyDescent="0.25">
      <c r="A183" s="3">
        <v>45837</v>
      </c>
      <c r="B183" t="s">
        <v>23</v>
      </c>
      <c r="C183" t="s">
        <v>24</v>
      </c>
      <c r="D183" t="s">
        <v>25</v>
      </c>
      <c r="E183" t="s">
        <v>20</v>
      </c>
      <c r="F183">
        <v>245</v>
      </c>
      <c r="G183">
        <v>21</v>
      </c>
      <c r="H183" t="s">
        <v>55</v>
      </c>
      <c r="I183">
        <v>2800</v>
      </c>
      <c r="J183">
        <v>4660.3599999999997</v>
      </c>
      <c r="K183">
        <v>2</v>
      </c>
      <c r="L183">
        <v>5357.02</v>
      </c>
      <c r="M183" t="s">
        <v>63</v>
      </c>
      <c r="N183">
        <f>Table1[[#This Row],[Quantity]]*Table1[[#This Row],[Unit Price (₹)]]</f>
        <v>686000</v>
      </c>
      <c r="O183">
        <f>MAX(0,Table1[[#This Row],[Reorder Level]]-Table1[[#This Row],[Quantity]])</f>
        <v>0</v>
      </c>
      <c r="P183">
        <f>MAX(0,Table1[[#This Row],[Quantity]]-Table1[[#This Row],[Reorder Level]])</f>
        <v>224</v>
      </c>
      <c r="Q183">
        <f>Table1[[#This Row],[Above Reorder QTY]]*Table1[[#This Row],[Unit Price (₹)]]</f>
        <v>627200</v>
      </c>
    </row>
    <row r="184" spans="1:17" x14ac:dyDescent="0.25">
      <c r="A184" s="3">
        <v>45838</v>
      </c>
      <c r="B184" t="s">
        <v>43</v>
      </c>
      <c r="C184" t="s">
        <v>24</v>
      </c>
      <c r="D184" t="s">
        <v>19</v>
      </c>
      <c r="E184" t="s">
        <v>20</v>
      </c>
      <c r="F184">
        <v>232</v>
      </c>
      <c r="G184">
        <v>46</v>
      </c>
      <c r="H184" t="s">
        <v>55</v>
      </c>
      <c r="I184">
        <v>2200</v>
      </c>
      <c r="J184">
        <v>102000.35</v>
      </c>
      <c r="K184">
        <v>54</v>
      </c>
      <c r="L184">
        <v>113981.42</v>
      </c>
      <c r="M184" t="s">
        <v>63</v>
      </c>
      <c r="N184">
        <f>Table1[[#This Row],[Quantity]]*Table1[[#This Row],[Unit Price (₹)]]</f>
        <v>510400</v>
      </c>
      <c r="O184">
        <f>MAX(0,Table1[[#This Row],[Reorder Level]]-Table1[[#This Row],[Quantity]])</f>
        <v>0</v>
      </c>
      <c r="P184">
        <f>MAX(0,Table1[[#This Row],[Quantity]]-Table1[[#This Row],[Reorder Level]])</f>
        <v>186</v>
      </c>
      <c r="Q184">
        <f>Table1[[#This Row],[Above Reorder QTY]]*Table1[[#This Row],[Unit Price (₹)]]</f>
        <v>409200</v>
      </c>
    </row>
    <row r="185" spans="1:17" x14ac:dyDescent="0.25">
      <c r="A185" s="3">
        <v>45839</v>
      </c>
      <c r="B185" t="s">
        <v>48</v>
      </c>
      <c r="C185" t="s">
        <v>28</v>
      </c>
      <c r="D185" t="s">
        <v>32</v>
      </c>
      <c r="E185" t="s">
        <v>37</v>
      </c>
      <c r="F185">
        <v>189</v>
      </c>
      <c r="G185">
        <v>44</v>
      </c>
      <c r="H185" t="s">
        <v>55</v>
      </c>
      <c r="I185">
        <v>45</v>
      </c>
      <c r="J185">
        <v>1934.41</v>
      </c>
      <c r="K185">
        <v>44</v>
      </c>
      <c r="L185">
        <v>2182.31</v>
      </c>
      <c r="M185" t="s">
        <v>64</v>
      </c>
      <c r="N185">
        <f>Table1[[#This Row],[Quantity]]*Table1[[#This Row],[Unit Price (₹)]]</f>
        <v>8505</v>
      </c>
      <c r="O185">
        <f>MAX(0,Table1[[#This Row],[Reorder Level]]-Table1[[#This Row],[Quantity]])</f>
        <v>0</v>
      </c>
      <c r="P185">
        <f>MAX(0,Table1[[#This Row],[Quantity]]-Table1[[#This Row],[Reorder Level]])</f>
        <v>145</v>
      </c>
      <c r="Q185">
        <f>Table1[[#This Row],[Above Reorder QTY]]*Table1[[#This Row],[Unit Price (₹)]]</f>
        <v>6525</v>
      </c>
    </row>
    <row r="186" spans="1:17" x14ac:dyDescent="0.25">
      <c r="A186" s="3">
        <v>45840</v>
      </c>
      <c r="B186" t="s">
        <v>30</v>
      </c>
      <c r="C186" t="s">
        <v>31</v>
      </c>
      <c r="D186" t="s">
        <v>32</v>
      </c>
      <c r="E186" t="s">
        <v>35</v>
      </c>
      <c r="F186">
        <v>193</v>
      </c>
      <c r="G186">
        <v>49</v>
      </c>
      <c r="H186" t="s">
        <v>55</v>
      </c>
      <c r="I186">
        <v>1100</v>
      </c>
      <c r="J186">
        <v>41798.480000000003</v>
      </c>
      <c r="K186">
        <v>29</v>
      </c>
      <c r="L186">
        <v>33908.68</v>
      </c>
      <c r="M186" t="s">
        <v>64</v>
      </c>
      <c r="N186">
        <f>Table1[[#This Row],[Quantity]]*Table1[[#This Row],[Unit Price (₹)]]</f>
        <v>212300</v>
      </c>
      <c r="O186">
        <f>MAX(0,Table1[[#This Row],[Reorder Level]]-Table1[[#This Row],[Quantity]])</f>
        <v>0</v>
      </c>
      <c r="P186">
        <f>MAX(0,Table1[[#This Row],[Quantity]]-Table1[[#This Row],[Reorder Level]])</f>
        <v>144</v>
      </c>
      <c r="Q186">
        <f>Table1[[#This Row],[Above Reorder QTY]]*Table1[[#This Row],[Unit Price (₹)]]</f>
        <v>158400</v>
      </c>
    </row>
    <row r="187" spans="1:17" x14ac:dyDescent="0.25">
      <c r="A187" s="3">
        <v>45841</v>
      </c>
      <c r="B187" t="s">
        <v>48</v>
      </c>
      <c r="C187" t="s">
        <v>28</v>
      </c>
      <c r="D187" t="s">
        <v>19</v>
      </c>
      <c r="E187" t="s">
        <v>20</v>
      </c>
      <c r="F187">
        <v>65</v>
      </c>
      <c r="G187">
        <v>38</v>
      </c>
      <c r="H187" t="s">
        <v>55</v>
      </c>
      <c r="I187">
        <v>45</v>
      </c>
      <c r="J187">
        <v>645.30999999999995</v>
      </c>
      <c r="K187">
        <v>9</v>
      </c>
      <c r="L187">
        <v>441.22</v>
      </c>
      <c r="M187" t="s">
        <v>64</v>
      </c>
      <c r="N187">
        <f>Table1[[#This Row],[Quantity]]*Table1[[#This Row],[Unit Price (₹)]]</f>
        <v>2925</v>
      </c>
      <c r="O187">
        <f>MAX(0,Table1[[#This Row],[Reorder Level]]-Table1[[#This Row],[Quantity]])</f>
        <v>0</v>
      </c>
      <c r="P187">
        <f>MAX(0,Table1[[#This Row],[Quantity]]-Table1[[#This Row],[Reorder Level]])</f>
        <v>27</v>
      </c>
      <c r="Q187">
        <f>Table1[[#This Row],[Above Reorder QTY]]*Table1[[#This Row],[Unit Price (₹)]]</f>
        <v>1215</v>
      </c>
    </row>
    <row r="188" spans="1:17" x14ac:dyDescent="0.25">
      <c r="A188" s="3">
        <v>45842</v>
      </c>
      <c r="B188" t="s">
        <v>34</v>
      </c>
      <c r="C188" t="s">
        <v>18</v>
      </c>
      <c r="D188" t="s">
        <v>32</v>
      </c>
      <c r="E188" t="s">
        <v>37</v>
      </c>
      <c r="F188">
        <v>209</v>
      </c>
      <c r="G188">
        <v>26</v>
      </c>
      <c r="H188" t="s">
        <v>55</v>
      </c>
      <c r="I188">
        <v>8500</v>
      </c>
      <c r="J188">
        <v>284691.17</v>
      </c>
      <c r="K188">
        <v>32</v>
      </c>
      <c r="L188">
        <v>299584.03000000003</v>
      </c>
      <c r="M188" t="s">
        <v>64</v>
      </c>
      <c r="N188">
        <f>Table1[[#This Row],[Quantity]]*Table1[[#This Row],[Unit Price (₹)]]</f>
        <v>1776500</v>
      </c>
      <c r="O188">
        <f>MAX(0,Table1[[#This Row],[Reorder Level]]-Table1[[#This Row],[Quantity]])</f>
        <v>0</v>
      </c>
      <c r="P188">
        <f>MAX(0,Table1[[#This Row],[Quantity]]-Table1[[#This Row],[Reorder Level]])</f>
        <v>183</v>
      </c>
      <c r="Q188">
        <f>Table1[[#This Row],[Above Reorder QTY]]*Table1[[#This Row],[Unit Price (₹)]]</f>
        <v>1555500</v>
      </c>
    </row>
    <row r="189" spans="1:17" x14ac:dyDescent="0.25">
      <c r="A189" s="3">
        <v>45843</v>
      </c>
      <c r="B189" t="s">
        <v>30</v>
      </c>
      <c r="C189" t="s">
        <v>31</v>
      </c>
      <c r="D189" t="s">
        <v>41</v>
      </c>
      <c r="E189" t="s">
        <v>35</v>
      </c>
      <c r="F189">
        <v>91</v>
      </c>
      <c r="G189">
        <v>34</v>
      </c>
      <c r="H189" t="s">
        <v>55</v>
      </c>
      <c r="I189">
        <v>1100</v>
      </c>
      <c r="J189">
        <v>17500.96</v>
      </c>
      <c r="K189">
        <v>2</v>
      </c>
      <c r="L189">
        <v>2362.79</v>
      </c>
      <c r="M189" t="s">
        <v>64</v>
      </c>
      <c r="N189">
        <f>Table1[[#This Row],[Quantity]]*Table1[[#This Row],[Unit Price (₹)]]</f>
        <v>100100</v>
      </c>
      <c r="O189">
        <f>MAX(0,Table1[[#This Row],[Reorder Level]]-Table1[[#This Row],[Quantity]])</f>
        <v>0</v>
      </c>
      <c r="P189">
        <f>MAX(0,Table1[[#This Row],[Quantity]]-Table1[[#This Row],[Reorder Level]])</f>
        <v>57</v>
      </c>
      <c r="Q189">
        <f>Table1[[#This Row],[Above Reorder QTY]]*Table1[[#This Row],[Unit Price (₹)]]</f>
        <v>62700</v>
      </c>
    </row>
    <row r="190" spans="1:17" x14ac:dyDescent="0.25">
      <c r="A190" s="3">
        <v>45844</v>
      </c>
      <c r="B190" t="s">
        <v>54</v>
      </c>
      <c r="C190" t="s">
        <v>50</v>
      </c>
      <c r="D190" t="s">
        <v>19</v>
      </c>
      <c r="E190" t="s">
        <v>29</v>
      </c>
      <c r="F190">
        <v>149</v>
      </c>
      <c r="G190">
        <v>50</v>
      </c>
      <c r="H190" t="s">
        <v>55</v>
      </c>
      <c r="I190">
        <v>1500</v>
      </c>
      <c r="J190">
        <v>28975.52</v>
      </c>
      <c r="K190">
        <v>32</v>
      </c>
      <c r="L190">
        <v>51224.29</v>
      </c>
      <c r="M190" t="s">
        <v>64</v>
      </c>
      <c r="N190">
        <f>Table1[[#This Row],[Quantity]]*Table1[[#This Row],[Unit Price (₹)]]</f>
        <v>223500</v>
      </c>
      <c r="O190">
        <f>MAX(0,Table1[[#This Row],[Reorder Level]]-Table1[[#This Row],[Quantity]])</f>
        <v>0</v>
      </c>
      <c r="P190">
        <f>MAX(0,Table1[[#This Row],[Quantity]]-Table1[[#This Row],[Reorder Level]])</f>
        <v>99</v>
      </c>
      <c r="Q190">
        <f>Table1[[#This Row],[Above Reorder QTY]]*Table1[[#This Row],[Unit Price (₹)]]</f>
        <v>148500</v>
      </c>
    </row>
    <row r="191" spans="1:17" x14ac:dyDescent="0.25">
      <c r="A191" s="3">
        <v>45845</v>
      </c>
      <c r="B191" t="s">
        <v>27</v>
      </c>
      <c r="C191" t="s">
        <v>28</v>
      </c>
      <c r="D191" t="s">
        <v>32</v>
      </c>
      <c r="E191" t="s">
        <v>33</v>
      </c>
      <c r="F191">
        <v>92</v>
      </c>
      <c r="G191">
        <v>33</v>
      </c>
      <c r="H191" t="s">
        <v>55</v>
      </c>
      <c r="I191">
        <v>18</v>
      </c>
      <c r="J191">
        <v>123.32</v>
      </c>
      <c r="K191">
        <v>13</v>
      </c>
      <c r="L191">
        <v>226.08</v>
      </c>
      <c r="M191" t="s">
        <v>64</v>
      </c>
      <c r="N191">
        <f>Table1[[#This Row],[Quantity]]*Table1[[#This Row],[Unit Price (₹)]]</f>
        <v>1656</v>
      </c>
      <c r="O191">
        <f>MAX(0,Table1[[#This Row],[Reorder Level]]-Table1[[#This Row],[Quantity]])</f>
        <v>0</v>
      </c>
      <c r="P191">
        <f>MAX(0,Table1[[#This Row],[Quantity]]-Table1[[#This Row],[Reorder Level]])</f>
        <v>59</v>
      </c>
      <c r="Q191">
        <f>Table1[[#This Row],[Above Reorder QTY]]*Table1[[#This Row],[Unit Price (₹)]]</f>
        <v>1062</v>
      </c>
    </row>
    <row r="192" spans="1:17" x14ac:dyDescent="0.25">
      <c r="A192" s="3">
        <v>45846</v>
      </c>
      <c r="B192" t="s">
        <v>57</v>
      </c>
      <c r="C192" t="s">
        <v>24</v>
      </c>
      <c r="D192" t="s">
        <v>44</v>
      </c>
      <c r="E192" t="s">
        <v>37</v>
      </c>
      <c r="F192">
        <v>59</v>
      </c>
      <c r="G192">
        <v>24</v>
      </c>
      <c r="H192" t="s">
        <v>55</v>
      </c>
      <c r="I192">
        <v>1200</v>
      </c>
      <c r="J192">
        <v>5957.84</v>
      </c>
      <c r="K192">
        <v>12</v>
      </c>
      <c r="L192">
        <v>16133.3</v>
      </c>
      <c r="M192" t="s">
        <v>64</v>
      </c>
      <c r="N192">
        <f>Table1[[#This Row],[Quantity]]*Table1[[#This Row],[Unit Price (₹)]]</f>
        <v>70800</v>
      </c>
      <c r="O192">
        <f>MAX(0,Table1[[#This Row],[Reorder Level]]-Table1[[#This Row],[Quantity]])</f>
        <v>0</v>
      </c>
      <c r="P192">
        <f>MAX(0,Table1[[#This Row],[Quantity]]-Table1[[#This Row],[Reorder Level]])</f>
        <v>35</v>
      </c>
      <c r="Q192">
        <f>Table1[[#This Row],[Above Reorder QTY]]*Table1[[#This Row],[Unit Price (₹)]]</f>
        <v>42000</v>
      </c>
    </row>
    <row r="193" spans="1:17" x14ac:dyDescent="0.25">
      <c r="A193" s="3">
        <v>45847</v>
      </c>
      <c r="B193" t="s">
        <v>38</v>
      </c>
      <c r="C193" t="s">
        <v>18</v>
      </c>
      <c r="D193" t="s">
        <v>25</v>
      </c>
      <c r="E193" t="s">
        <v>45</v>
      </c>
      <c r="F193">
        <v>183</v>
      </c>
      <c r="G193">
        <v>10</v>
      </c>
      <c r="H193" t="s">
        <v>55</v>
      </c>
      <c r="I193">
        <v>4500</v>
      </c>
      <c r="J193">
        <v>65079.97</v>
      </c>
      <c r="K193">
        <v>28</v>
      </c>
      <c r="L193">
        <v>143256.85</v>
      </c>
      <c r="M193" t="s">
        <v>64</v>
      </c>
      <c r="N193">
        <f>Table1[[#This Row],[Quantity]]*Table1[[#This Row],[Unit Price (₹)]]</f>
        <v>823500</v>
      </c>
      <c r="O193">
        <f>MAX(0,Table1[[#This Row],[Reorder Level]]-Table1[[#This Row],[Quantity]])</f>
        <v>0</v>
      </c>
      <c r="P193">
        <f>MAX(0,Table1[[#This Row],[Quantity]]-Table1[[#This Row],[Reorder Level]])</f>
        <v>173</v>
      </c>
      <c r="Q193">
        <f>Table1[[#This Row],[Above Reorder QTY]]*Table1[[#This Row],[Unit Price (₹)]]</f>
        <v>778500</v>
      </c>
    </row>
    <row r="194" spans="1:17" x14ac:dyDescent="0.25">
      <c r="A194" s="3">
        <v>45848</v>
      </c>
      <c r="B194" t="s">
        <v>38</v>
      </c>
      <c r="C194" t="s">
        <v>18</v>
      </c>
      <c r="D194" t="s">
        <v>32</v>
      </c>
      <c r="E194" t="s">
        <v>45</v>
      </c>
      <c r="F194">
        <v>19</v>
      </c>
      <c r="G194">
        <v>13</v>
      </c>
      <c r="H194" t="s">
        <v>55</v>
      </c>
      <c r="I194">
        <v>4500</v>
      </c>
      <c r="J194">
        <v>19972.61</v>
      </c>
      <c r="K194">
        <v>1</v>
      </c>
      <c r="L194">
        <v>4508.82</v>
      </c>
      <c r="M194" t="s">
        <v>64</v>
      </c>
      <c r="N194">
        <f>Table1[[#This Row],[Quantity]]*Table1[[#This Row],[Unit Price (₹)]]</f>
        <v>85500</v>
      </c>
      <c r="O194">
        <f>MAX(0,Table1[[#This Row],[Reorder Level]]-Table1[[#This Row],[Quantity]])</f>
        <v>0</v>
      </c>
      <c r="P194">
        <f>MAX(0,Table1[[#This Row],[Quantity]]-Table1[[#This Row],[Reorder Level]])</f>
        <v>6</v>
      </c>
      <c r="Q194">
        <f>Table1[[#This Row],[Above Reorder QTY]]*Table1[[#This Row],[Unit Price (₹)]]</f>
        <v>27000</v>
      </c>
    </row>
    <row r="195" spans="1:17" x14ac:dyDescent="0.25">
      <c r="A195" s="3">
        <v>45849</v>
      </c>
      <c r="B195" t="s">
        <v>30</v>
      </c>
      <c r="C195" t="s">
        <v>31</v>
      </c>
      <c r="D195" t="s">
        <v>25</v>
      </c>
      <c r="E195" t="s">
        <v>45</v>
      </c>
      <c r="F195">
        <v>143</v>
      </c>
      <c r="G195">
        <v>39</v>
      </c>
      <c r="H195" t="s">
        <v>55</v>
      </c>
      <c r="I195">
        <v>1100</v>
      </c>
      <c r="J195">
        <v>14570.66</v>
      </c>
      <c r="K195">
        <v>24</v>
      </c>
      <c r="L195">
        <v>28948.2</v>
      </c>
      <c r="M195" t="s">
        <v>64</v>
      </c>
      <c r="N195">
        <f>Table1[[#This Row],[Quantity]]*Table1[[#This Row],[Unit Price (₹)]]</f>
        <v>157300</v>
      </c>
      <c r="O195">
        <f>MAX(0,Table1[[#This Row],[Reorder Level]]-Table1[[#This Row],[Quantity]])</f>
        <v>0</v>
      </c>
      <c r="P195">
        <f>MAX(0,Table1[[#This Row],[Quantity]]-Table1[[#This Row],[Reorder Level]])</f>
        <v>104</v>
      </c>
      <c r="Q195">
        <f>Table1[[#This Row],[Above Reorder QTY]]*Table1[[#This Row],[Unit Price (₹)]]</f>
        <v>114400</v>
      </c>
    </row>
    <row r="196" spans="1:17" x14ac:dyDescent="0.25">
      <c r="A196" s="3">
        <v>45850</v>
      </c>
      <c r="B196" t="s">
        <v>34</v>
      </c>
      <c r="C196" t="s">
        <v>18</v>
      </c>
      <c r="D196" t="s">
        <v>44</v>
      </c>
      <c r="E196" t="s">
        <v>20</v>
      </c>
      <c r="F196">
        <v>127</v>
      </c>
      <c r="G196">
        <v>37</v>
      </c>
      <c r="H196" t="s">
        <v>55</v>
      </c>
      <c r="I196">
        <v>8500</v>
      </c>
      <c r="J196">
        <v>190621.55</v>
      </c>
      <c r="K196">
        <v>5</v>
      </c>
      <c r="L196">
        <v>42766.82</v>
      </c>
      <c r="M196" t="s">
        <v>64</v>
      </c>
      <c r="N196">
        <f>Table1[[#This Row],[Quantity]]*Table1[[#This Row],[Unit Price (₹)]]</f>
        <v>1079500</v>
      </c>
      <c r="O196">
        <f>MAX(0,Table1[[#This Row],[Reorder Level]]-Table1[[#This Row],[Quantity]])</f>
        <v>0</v>
      </c>
      <c r="P196">
        <f>MAX(0,Table1[[#This Row],[Quantity]]-Table1[[#This Row],[Reorder Level]])</f>
        <v>90</v>
      </c>
      <c r="Q196">
        <f>Table1[[#This Row],[Above Reorder QTY]]*Table1[[#This Row],[Unit Price (₹)]]</f>
        <v>765000</v>
      </c>
    </row>
    <row r="197" spans="1:17" x14ac:dyDescent="0.25">
      <c r="A197" s="3">
        <v>45851</v>
      </c>
      <c r="B197" t="s">
        <v>61</v>
      </c>
      <c r="C197" t="s">
        <v>50</v>
      </c>
      <c r="D197" t="s">
        <v>41</v>
      </c>
      <c r="E197" t="s">
        <v>29</v>
      </c>
      <c r="F197">
        <v>247</v>
      </c>
      <c r="G197">
        <v>28</v>
      </c>
      <c r="H197" t="s">
        <v>55</v>
      </c>
      <c r="I197">
        <v>900</v>
      </c>
      <c r="J197">
        <v>31595.200000000001</v>
      </c>
      <c r="K197">
        <v>44</v>
      </c>
      <c r="L197">
        <v>40392.04</v>
      </c>
      <c r="M197" t="s">
        <v>64</v>
      </c>
      <c r="N197">
        <f>Table1[[#This Row],[Quantity]]*Table1[[#This Row],[Unit Price (₹)]]</f>
        <v>222300</v>
      </c>
      <c r="O197">
        <f>MAX(0,Table1[[#This Row],[Reorder Level]]-Table1[[#This Row],[Quantity]])</f>
        <v>0</v>
      </c>
      <c r="P197">
        <f>MAX(0,Table1[[#This Row],[Quantity]]-Table1[[#This Row],[Reorder Level]])</f>
        <v>219</v>
      </c>
      <c r="Q197">
        <f>Table1[[#This Row],[Above Reorder QTY]]*Table1[[#This Row],[Unit Price (₹)]]</f>
        <v>197100</v>
      </c>
    </row>
    <row r="198" spans="1:17" x14ac:dyDescent="0.25">
      <c r="A198" s="3">
        <v>45852</v>
      </c>
      <c r="B198" t="s">
        <v>36</v>
      </c>
      <c r="C198" t="s">
        <v>24</v>
      </c>
      <c r="D198" t="s">
        <v>44</v>
      </c>
      <c r="E198" t="s">
        <v>29</v>
      </c>
      <c r="F198">
        <v>25</v>
      </c>
      <c r="G198">
        <v>22</v>
      </c>
      <c r="H198" t="s">
        <v>55</v>
      </c>
      <c r="I198">
        <v>3500</v>
      </c>
      <c r="J198">
        <v>21016.89</v>
      </c>
      <c r="K198">
        <v>4</v>
      </c>
      <c r="L198">
        <v>14171.66</v>
      </c>
      <c r="M198" t="s">
        <v>64</v>
      </c>
      <c r="N198">
        <f>Table1[[#This Row],[Quantity]]*Table1[[#This Row],[Unit Price (₹)]]</f>
        <v>87500</v>
      </c>
      <c r="O198">
        <f>MAX(0,Table1[[#This Row],[Reorder Level]]-Table1[[#This Row],[Quantity]])</f>
        <v>0</v>
      </c>
      <c r="P198">
        <f>MAX(0,Table1[[#This Row],[Quantity]]-Table1[[#This Row],[Reorder Level]])</f>
        <v>3</v>
      </c>
      <c r="Q198">
        <f>Table1[[#This Row],[Above Reorder QTY]]*Table1[[#This Row],[Unit Price (₹)]]</f>
        <v>10500</v>
      </c>
    </row>
    <row r="199" spans="1:17" x14ac:dyDescent="0.25">
      <c r="A199" s="3">
        <v>45853</v>
      </c>
      <c r="B199" t="s">
        <v>23</v>
      </c>
      <c r="C199" t="s">
        <v>24</v>
      </c>
      <c r="D199" t="s">
        <v>32</v>
      </c>
      <c r="E199" t="s">
        <v>26</v>
      </c>
      <c r="F199">
        <v>50</v>
      </c>
      <c r="G199">
        <v>43</v>
      </c>
      <c r="H199" t="s">
        <v>55</v>
      </c>
      <c r="I199">
        <v>2800</v>
      </c>
      <c r="J199">
        <v>9783.26</v>
      </c>
      <c r="K199">
        <v>6</v>
      </c>
      <c r="L199">
        <v>16658.150000000001</v>
      </c>
      <c r="M199" t="s">
        <v>64</v>
      </c>
      <c r="N199">
        <f>Table1[[#This Row],[Quantity]]*Table1[[#This Row],[Unit Price (₹)]]</f>
        <v>140000</v>
      </c>
      <c r="O199">
        <f>MAX(0,Table1[[#This Row],[Reorder Level]]-Table1[[#This Row],[Quantity]])</f>
        <v>0</v>
      </c>
      <c r="P199">
        <f>MAX(0,Table1[[#This Row],[Quantity]]-Table1[[#This Row],[Reorder Level]])</f>
        <v>7</v>
      </c>
      <c r="Q199">
        <f>Table1[[#This Row],[Above Reorder QTY]]*Table1[[#This Row],[Unit Price (₹)]]</f>
        <v>19600</v>
      </c>
    </row>
    <row r="200" spans="1:17" x14ac:dyDescent="0.25">
      <c r="A200" s="3">
        <v>45854</v>
      </c>
      <c r="B200" t="s">
        <v>30</v>
      </c>
      <c r="C200" t="s">
        <v>31</v>
      </c>
      <c r="D200" t="s">
        <v>41</v>
      </c>
      <c r="E200" t="s">
        <v>33</v>
      </c>
      <c r="F200">
        <v>226</v>
      </c>
      <c r="G200">
        <v>42</v>
      </c>
      <c r="H200" t="s">
        <v>55</v>
      </c>
      <c r="I200">
        <v>1100</v>
      </c>
      <c r="J200">
        <v>15482.7</v>
      </c>
      <c r="K200">
        <v>41</v>
      </c>
      <c r="L200">
        <v>48875.53</v>
      </c>
      <c r="M200" t="s">
        <v>64</v>
      </c>
      <c r="N200">
        <f>Table1[[#This Row],[Quantity]]*Table1[[#This Row],[Unit Price (₹)]]</f>
        <v>248600</v>
      </c>
      <c r="O200">
        <f>MAX(0,Table1[[#This Row],[Reorder Level]]-Table1[[#This Row],[Quantity]])</f>
        <v>0</v>
      </c>
      <c r="P200">
        <f>MAX(0,Table1[[#This Row],[Quantity]]-Table1[[#This Row],[Reorder Level]])</f>
        <v>184</v>
      </c>
      <c r="Q200">
        <f>Table1[[#This Row],[Above Reorder QTY]]*Table1[[#This Row],[Unit Price (₹)]]</f>
        <v>202400</v>
      </c>
    </row>
    <row r="201" spans="1:17" x14ac:dyDescent="0.25">
      <c r="A201" s="3">
        <v>45855</v>
      </c>
      <c r="B201" t="s">
        <v>39</v>
      </c>
      <c r="C201" t="s">
        <v>31</v>
      </c>
      <c r="D201" t="s">
        <v>19</v>
      </c>
      <c r="E201" t="s">
        <v>35</v>
      </c>
      <c r="F201">
        <v>62</v>
      </c>
      <c r="G201">
        <v>19</v>
      </c>
      <c r="H201" t="s">
        <v>55</v>
      </c>
      <c r="I201">
        <v>650</v>
      </c>
      <c r="J201">
        <v>1475.92</v>
      </c>
      <c r="K201">
        <v>13</v>
      </c>
      <c r="L201">
        <v>9100.5300000000007</v>
      </c>
      <c r="M201" t="s">
        <v>64</v>
      </c>
      <c r="N201">
        <f>Table1[[#This Row],[Quantity]]*Table1[[#This Row],[Unit Price (₹)]]</f>
        <v>40300</v>
      </c>
      <c r="O201">
        <f>MAX(0,Table1[[#This Row],[Reorder Level]]-Table1[[#This Row],[Quantity]])</f>
        <v>0</v>
      </c>
      <c r="P201">
        <f>MAX(0,Table1[[#This Row],[Quantity]]-Table1[[#This Row],[Reorder Level]])</f>
        <v>43</v>
      </c>
      <c r="Q201">
        <f>Table1[[#This Row],[Above Reorder QTY]]*Table1[[#This Row],[Unit Price (₹)]]</f>
        <v>27950</v>
      </c>
    </row>
    <row r="202" spans="1:17" x14ac:dyDescent="0.25">
      <c r="A202" s="3">
        <v>45856</v>
      </c>
      <c r="B202" t="s">
        <v>49</v>
      </c>
      <c r="C202" t="s">
        <v>50</v>
      </c>
      <c r="D202" t="s">
        <v>44</v>
      </c>
      <c r="E202" t="s">
        <v>37</v>
      </c>
      <c r="F202">
        <v>17</v>
      </c>
      <c r="G202">
        <v>40</v>
      </c>
      <c r="H202" t="s">
        <v>47</v>
      </c>
      <c r="I202">
        <v>850</v>
      </c>
      <c r="J202">
        <v>2014.83</v>
      </c>
      <c r="K202">
        <v>3</v>
      </c>
      <c r="L202">
        <v>2929.77</v>
      </c>
      <c r="M202" t="s">
        <v>64</v>
      </c>
      <c r="N202">
        <f>Table1[[#This Row],[Quantity]]*Table1[[#This Row],[Unit Price (₹)]]</f>
        <v>14450</v>
      </c>
      <c r="O202">
        <f>MAX(0,Table1[[#This Row],[Reorder Level]]-Table1[[#This Row],[Quantity]])</f>
        <v>23</v>
      </c>
      <c r="P202">
        <f>MAX(0,Table1[[#This Row],[Quantity]]-Table1[[#This Row],[Reorder Level]])</f>
        <v>0</v>
      </c>
      <c r="Q202">
        <f>Table1[[#This Row],[Above Reorder QTY]]*Table1[[#This Row],[Unit Price (₹)]]</f>
        <v>0</v>
      </c>
    </row>
    <row r="203" spans="1:17" x14ac:dyDescent="0.25">
      <c r="A203" s="3">
        <v>45857</v>
      </c>
      <c r="B203" t="s">
        <v>56</v>
      </c>
      <c r="C203" t="s">
        <v>28</v>
      </c>
      <c r="D203" t="s">
        <v>32</v>
      </c>
      <c r="E203" t="s">
        <v>45</v>
      </c>
      <c r="F203">
        <v>124</v>
      </c>
      <c r="G203">
        <v>12</v>
      </c>
      <c r="H203" t="s">
        <v>55</v>
      </c>
      <c r="I203">
        <v>1200</v>
      </c>
      <c r="J203">
        <v>4831.4799999999996</v>
      </c>
      <c r="K203">
        <v>1</v>
      </c>
      <c r="L203">
        <v>1330.17</v>
      </c>
      <c r="M203" t="s">
        <v>64</v>
      </c>
      <c r="N203">
        <f>Table1[[#This Row],[Quantity]]*Table1[[#This Row],[Unit Price (₹)]]</f>
        <v>148800</v>
      </c>
      <c r="O203">
        <f>MAX(0,Table1[[#This Row],[Reorder Level]]-Table1[[#This Row],[Quantity]])</f>
        <v>0</v>
      </c>
      <c r="P203">
        <f>MAX(0,Table1[[#This Row],[Quantity]]-Table1[[#This Row],[Reorder Level]])</f>
        <v>112</v>
      </c>
      <c r="Q203">
        <f>Table1[[#This Row],[Above Reorder QTY]]*Table1[[#This Row],[Unit Price (₹)]]</f>
        <v>134400</v>
      </c>
    </row>
    <row r="204" spans="1:17" x14ac:dyDescent="0.25">
      <c r="A204" s="3">
        <v>45858</v>
      </c>
      <c r="B204" t="s">
        <v>53</v>
      </c>
      <c r="C204" t="s">
        <v>28</v>
      </c>
      <c r="D204" t="s">
        <v>41</v>
      </c>
      <c r="E204" t="s">
        <v>29</v>
      </c>
      <c r="F204">
        <v>110</v>
      </c>
      <c r="G204">
        <v>44</v>
      </c>
      <c r="H204" t="s">
        <v>55</v>
      </c>
      <c r="I204">
        <v>120</v>
      </c>
      <c r="J204">
        <v>104.54</v>
      </c>
      <c r="K204">
        <v>3</v>
      </c>
      <c r="L204">
        <v>391.82</v>
      </c>
      <c r="M204" t="s">
        <v>64</v>
      </c>
      <c r="N204">
        <f>Table1[[#This Row],[Quantity]]*Table1[[#This Row],[Unit Price (₹)]]</f>
        <v>13200</v>
      </c>
      <c r="O204">
        <f>MAX(0,Table1[[#This Row],[Reorder Level]]-Table1[[#This Row],[Quantity]])</f>
        <v>0</v>
      </c>
      <c r="P204">
        <f>MAX(0,Table1[[#This Row],[Quantity]]-Table1[[#This Row],[Reorder Level]])</f>
        <v>66</v>
      </c>
      <c r="Q204">
        <f>Table1[[#This Row],[Above Reorder QTY]]*Table1[[#This Row],[Unit Price (₹)]]</f>
        <v>7920</v>
      </c>
    </row>
    <row r="205" spans="1:17" x14ac:dyDescent="0.25">
      <c r="A205" s="3">
        <v>45859</v>
      </c>
      <c r="B205" t="s">
        <v>58</v>
      </c>
      <c r="C205" t="s">
        <v>28</v>
      </c>
      <c r="D205" t="s">
        <v>19</v>
      </c>
      <c r="E205" t="s">
        <v>45</v>
      </c>
      <c r="F205">
        <v>19</v>
      </c>
      <c r="G205">
        <v>16</v>
      </c>
      <c r="H205" t="s">
        <v>55</v>
      </c>
      <c r="I205">
        <v>3000</v>
      </c>
      <c r="J205">
        <v>8265.9</v>
      </c>
      <c r="K205">
        <v>4</v>
      </c>
      <c r="L205">
        <v>12111.87</v>
      </c>
      <c r="M205" t="s">
        <v>64</v>
      </c>
      <c r="N205">
        <f>Table1[[#This Row],[Quantity]]*Table1[[#This Row],[Unit Price (₹)]]</f>
        <v>57000</v>
      </c>
      <c r="O205">
        <f>MAX(0,Table1[[#This Row],[Reorder Level]]-Table1[[#This Row],[Quantity]])</f>
        <v>0</v>
      </c>
      <c r="P205">
        <f>MAX(0,Table1[[#This Row],[Quantity]]-Table1[[#This Row],[Reorder Level]])</f>
        <v>3</v>
      </c>
      <c r="Q205">
        <f>Table1[[#This Row],[Above Reorder QTY]]*Table1[[#This Row],[Unit Price (₹)]]</f>
        <v>9000</v>
      </c>
    </row>
    <row r="206" spans="1:17" x14ac:dyDescent="0.25">
      <c r="A206" s="3">
        <v>45860</v>
      </c>
      <c r="B206" t="s">
        <v>46</v>
      </c>
      <c r="C206" t="s">
        <v>18</v>
      </c>
      <c r="D206" t="s">
        <v>32</v>
      </c>
      <c r="E206" t="s">
        <v>35</v>
      </c>
      <c r="F206">
        <v>193</v>
      </c>
      <c r="G206">
        <v>24</v>
      </c>
      <c r="H206" t="s">
        <v>55</v>
      </c>
      <c r="I206">
        <v>6000</v>
      </c>
      <c r="J206">
        <v>24946.49</v>
      </c>
      <c r="K206">
        <v>26</v>
      </c>
      <c r="L206">
        <v>153230.04</v>
      </c>
      <c r="M206" t="s">
        <v>64</v>
      </c>
      <c r="N206">
        <f>Table1[[#This Row],[Quantity]]*Table1[[#This Row],[Unit Price (₹)]]</f>
        <v>1158000</v>
      </c>
      <c r="O206">
        <f>MAX(0,Table1[[#This Row],[Reorder Level]]-Table1[[#This Row],[Quantity]])</f>
        <v>0</v>
      </c>
      <c r="P206">
        <f>MAX(0,Table1[[#This Row],[Quantity]]-Table1[[#This Row],[Reorder Level]])</f>
        <v>169</v>
      </c>
      <c r="Q206">
        <f>Table1[[#This Row],[Above Reorder QTY]]*Table1[[#This Row],[Unit Price (₹)]]</f>
        <v>1014000</v>
      </c>
    </row>
    <row r="207" spans="1:17" x14ac:dyDescent="0.25">
      <c r="A207" s="3">
        <v>45861</v>
      </c>
      <c r="B207" t="s">
        <v>54</v>
      </c>
      <c r="C207" t="s">
        <v>50</v>
      </c>
      <c r="D207" t="s">
        <v>32</v>
      </c>
      <c r="E207" t="s">
        <v>26</v>
      </c>
      <c r="F207">
        <v>46</v>
      </c>
      <c r="G207">
        <v>46</v>
      </c>
      <c r="H207" t="s">
        <v>47</v>
      </c>
      <c r="I207">
        <v>1500</v>
      </c>
      <c r="J207">
        <v>14409.31</v>
      </c>
      <c r="K207">
        <v>9</v>
      </c>
      <c r="L207">
        <v>15065.04</v>
      </c>
      <c r="M207" t="s">
        <v>64</v>
      </c>
      <c r="N207">
        <f>Table1[[#This Row],[Quantity]]*Table1[[#This Row],[Unit Price (₹)]]</f>
        <v>69000</v>
      </c>
      <c r="O207">
        <f>MAX(0,Table1[[#This Row],[Reorder Level]]-Table1[[#This Row],[Quantity]])</f>
        <v>0</v>
      </c>
      <c r="P207">
        <f>MAX(0,Table1[[#This Row],[Quantity]]-Table1[[#This Row],[Reorder Level]])</f>
        <v>0</v>
      </c>
      <c r="Q207">
        <f>Table1[[#This Row],[Above Reorder QTY]]*Table1[[#This Row],[Unit Price (₹)]]</f>
        <v>0</v>
      </c>
    </row>
    <row r="208" spans="1:17" x14ac:dyDescent="0.25">
      <c r="A208" s="3">
        <v>45862</v>
      </c>
      <c r="B208" t="s">
        <v>53</v>
      </c>
      <c r="C208" t="s">
        <v>28</v>
      </c>
      <c r="D208" t="s">
        <v>41</v>
      </c>
      <c r="E208" t="s">
        <v>37</v>
      </c>
      <c r="F208">
        <v>145</v>
      </c>
      <c r="G208">
        <v>15</v>
      </c>
      <c r="H208" t="s">
        <v>55</v>
      </c>
      <c r="I208">
        <v>120</v>
      </c>
      <c r="J208">
        <v>1715.21</v>
      </c>
      <c r="K208">
        <v>35</v>
      </c>
      <c r="L208">
        <v>4581.12</v>
      </c>
      <c r="M208" t="s">
        <v>64</v>
      </c>
      <c r="N208">
        <f>Table1[[#This Row],[Quantity]]*Table1[[#This Row],[Unit Price (₹)]]</f>
        <v>17400</v>
      </c>
      <c r="O208">
        <f>MAX(0,Table1[[#This Row],[Reorder Level]]-Table1[[#This Row],[Quantity]])</f>
        <v>0</v>
      </c>
      <c r="P208">
        <f>MAX(0,Table1[[#This Row],[Quantity]]-Table1[[#This Row],[Reorder Level]])</f>
        <v>130</v>
      </c>
      <c r="Q208">
        <f>Table1[[#This Row],[Above Reorder QTY]]*Table1[[#This Row],[Unit Price (₹)]]</f>
        <v>15600</v>
      </c>
    </row>
    <row r="209" spans="1:17" x14ac:dyDescent="0.25">
      <c r="A209" s="3">
        <v>45863</v>
      </c>
      <c r="B209" t="s">
        <v>40</v>
      </c>
      <c r="C209" t="s">
        <v>31</v>
      </c>
      <c r="D209" t="s">
        <v>32</v>
      </c>
      <c r="E209" t="s">
        <v>45</v>
      </c>
      <c r="F209">
        <v>171</v>
      </c>
      <c r="G209">
        <v>27</v>
      </c>
      <c r="H209" t="s">
        <v>55</v>
      </c>
      <c r="I209">
        <v>1400</v>
      </c>
      <c r="J209">
        <v>61316.67</v>
      </c>
      <c r="K209">
        <v>35</v>
      </c>
      <c r="L209">
        <v>49086.03</v>
      </c>
      <c r="M209" t="s">
        <v>64</v>
      </c>
      <c r="N209">
        <f>Table1[[#This Row],[Quantity]]*Table1[[#This Row],[Unit Price (₹)]]</f>
        <v>239400</v>
      </c>
      <c r="O209">
        <f>MAX(0,Table1[[#This Row],[Reorder Level]]-Table1[[#This Row],[Quantity]])</f>
        <v>0</v>
      </c>
      <c r="P209">
        <f>MAX(0,Table1[[#This Row],[Quantity]]-Table1[[#This Row],[Reorder Level]])</f>
        <v>144</v>
      </c>
      <c r="Q209">
        <f>Table1[[#This Row],[Above Reorder QTY]]*Table1[[#This Row],[Unit Price (₹)]]</f>
        <v>201600</v>
      </c>
    </row>
    <row r="210" spans="1:17" x14ac:dyDescent="0.25">
      <c r="A210" s="3">
        <v>45864</v>
      </c>
      <c r="B210" t="s">
        <v>48</v>
      </c>
      <c r="C210" t="s">
        <v>28</v>
      </c>
      <c r="D210" t="s">
        <v>41</v>
      </c>
      <c r="E210" t="s">
        <v>20</v>
      </c>
      <c r="F210">
        <v>56</v>
      </c>
      <c r="G210">
        <v>37</v>
      </c>
      <c r="H210" t="s">
        <v>55</v>
      </c>
      <c r="I210">
        <v>45</v>
      </c>
      <c r="J210">
        <v>219.86</v>
      </c>
      <c r="K210">
        <v>8</v>
      </c>
      <c r="L210">
        <v>413.87</v>
      </c>
      <c r="M210" t="s">
        <v>64</v>
      </c>
      <c r="N210">
        <f>Table1[[#This Row],[Quantity]]*Table1[[#This Row],[Unit Price (₹)]]</f>
        <v>2520</v>
      </c>
      <c r="O210">
        <f>MAX(0,Table1[[#This Row],[Reorder Level]]-Table1[[#This Row],[Quantity]])</f>
        <v>0</v>
      </c>
      <c r="P210">
        <f>MAX(0,Table1[[#This Row],[Quantity]]-Table1[[#This Row],[Reorder Level]])</f>
        <v>19</v>
      </c>
      <c r="Q210">
        <f>Table1[[#This Row],[Above Reorder QTY]]*Table1[[#This Row],[Unit Price (₹)]]</f>
        <v>855</v>
      </c>
    </row>
    <row r="211" spans="1:17" x14ac:dyDescent="0.25">
      <c r="A211" s="3">
        <v>45865</v>
      </c>
      <c r="B211" t="s">
        <v>49</v>
      </c>
      <c r="C211" t="s">
        <v>50</v>
      </c>
      <c r="D211" t="s">
        <v>32</v>
      </c>
      <c r="E211" t="s">
        <v>20</v>
      </c>
      <c r="F211">
        <v>224</v>
      </c>
      <c r="G211">
        <v>40</v>
      </c>
      <c r="H211" t="s">
        <v>55</v>
      </c>
      <c r="I211">
        <v>850</v>
      </c>
      <c r="J211">
        <v>43709.04</v>
      </c>
      <c r="K211">
        <v>39</v>
      </c>
      <c r="L211">
        <v>35166.730000000003</v>
      </c>
      <c r="M211" t="s">
        <v>64</v>
      </c>
      <c r="N211">
        <f>Table1[[#This Row],[Quantity]]*Table1[[#This Row],[Unit Price (₹)]]</f>
        <v>190400</v>
      </c>
      <c r="O211">
        <f>MAX(0,Table1[[#This Row],[Reorder Level]]-Table1[[#This Row],[Quantity]])</f>
        <v>0</v>
      </c>
      <c r="P211">
        <f>MAX(0,Table1[[#This Row],[Quantity]]-Table1[[#This Row],[Reorder Level]])</f>
        <v>184</v>
      </c>
      <c r="Q211">
        <f>Table1[[#This Row],[Above Reorder QTY]]*Table1[[#This Row],[Unit Price (₹)]]</f>
        <v>156400</v>
      </c>
    </row>
    <row r="212" spans="1:17" x14ac:dyDescent="0.25">
      <c r="A212" s="3">
        <v>45866</v>
      </c>
      <c r="B212" t="s">
        <v>40</v>
      </c>
      <c r="C212" t="s">
        <v>31</v>
      </c>
      <c r="D212" t="s">
        <v>44</v>
      </c>
      <c r="E212" t="s">
        <v>26</v>
      </c>
      <c r="F212">
        <v>12</v>
      </c>
      <c r="G212">
        <v>33</v>
      </c>
      <c r="H212" t="s">
        <v>47</v>
      </c>
      <c r="I212">
        <v>1400</v>
      </c>
      <c r="J212">
        <v>2443.54</v>
      </c>
      <c r="K212">
        <v>3</v>
      </c>
      <c r="L212">
        <v>4295</v>
      </c>
      <c r="M212" t="s">
        <v>64</v>
      </c>
      <c r="N212">
        <f>Table1[[#This Row],[Quantity]]*Table1[[#This Row],[Unit Price (₹)]]</f>
        <v>16800</v>
      </c>
      <c r="O212">
        <f>MAX(0,Table1[[#This Row],[Reorder Level]]-Table1[[#This Row],[Quantity]])</f>
        <v>21</v>
      </c>
      <c r="P212">
        <f>MAX(0,Table1[[#This Row],[Quantity]]-Table1[[#This Row],[Reorder Level]])</f>
        <v>0</v>
      </c>
      <c r="Q212">
        <f>Table1[[#This Row],[Above Reorder QTY]]*Table1[[#This Row],[Unit Price (₹)]]</f>
        <v>0</v>
      </c>
    </row>
    <row r="213" spans="1:17" x14ac:dyDescent="0.25">
      <c r="A213" s="3">
        <v>45867</v>
      </c>
      <c r="B213" t="s">
        <v>40</v>
      </c>
      <c r="C213" t="s">
        <v>31</v>
      </c>
      <c r="D213" t="s">
        <v>25</v>
      </c>
      <c r="E213" t="s">
        <v>37</v>
      </c>
      <c r="F213">
        <v>38</v>
      </c>
      <c r="G213">
        <v>45</v>
      </c>
      <c r="H213" t="s">
        <v>47</v>
      </c>
      <c r="I213">
        <v>1400</v>
      </c>
      <c r="J213">
        <v>7653.58</v>
      </c>
      <c r="K213">
        <v>7</v>
      </c>
      <c r="L213">
        <v>9522.01</v>
      </c>
      <c r="M213" t="s">
        <v>64</v>
      </c>
      <c r="N213">
        <f>Table1[[#This Row],[Quantity]]*Table1[[#This Row],[Unit Price (₹)]]</f>
        <v>53200</v>
      </c>
      <c r="O213">
        <f>MAX(0,Table1[[#This Row],[Reorder Level]]-Table1[[#This Row],[Quantity]])</f>
        <v>7</v>
      </c>
      <c r="P213">
        <f>MAX(0,Table1[[#This Row],[Quantity]]-Table1[[#This Row],[Reorder Level]])</f>
        <v>0</v>
      </c>
      <c r="Q213">
        <f>Table1[[#This Row],[Above Reorder QTY]]*Table1[[#This Row],[Unit Price (₹)]]</f>
        <v>0</v>
      </c>
    </row>
    <row r="214" spans="1:17" x14ac:dyDescent="0.25">
      <c r="A214" s="3">
        <v>45868</v>
      </c>
      <c r="B214" t="s">
        <v>30</v>
      </c>
      <c r="C214" t="s">
        <v>31</v>
      </c>
      <c r="D214" t="s">
        <v>44</v>
      </c>
      <c r="E214" t="s">
        <v>35</v>
      </c>
      <c r="F214">
        <v>108</v>
      </c>
      <c r="G214">
        <v>47</v>
      </c>
      <c r="H214" t="s">
        <v>55</v>
      </c>
      <c r="I214">
        <v>1100</v>
      </c>
      <c r="J214">
        <v>32496.45</v>
      </c>
      <c r="K214">
        <v>15</v>
      </c>
      <c r="L214">
        <v>17631.78</v>
      </c>
      <c r="M214" t="s">
        <v>64</v>
      </c>
      <c r="N214">
        <f>Table1[[#This Row],[Quantity]]*Table1[[#This Row],[Unit Price (₹)]]</f>
        <v>118800</v>
      </c>
      <c r="O214">
        <f>MAX(0,Table1[[#This Row],[Reorder Level]]-Table1[[#This Row],[Quantity]])</f>
        <v>0</v>
      </c>
      <c r="P214">
        <f>MAX(0,Table1[[#This Row],[Quantity]]-Table1[[#This Row],[Reorder Level]])</f>
        <v>61</v>
      </c>
      <c r="Q214">
        <f>Table1[[#This Row],[Above Reorder QTY]]*Table1[[#This Row],[Unit Price (₹)]]</f>
        <v>67100</v>
      </c>
    </row>
    <row r="215" spans="1:17" x14ac:dyDescent="0.25">
      <c r="A215" s="3">
        <v>45869</v>
      </c>
      <c r="B215" t="s">
        <v>43</v>
      </c>
      <c r="C215" t="s">
        <v>24</v>
      </c>
      <c r="D215" t="s">
        <v>41</v>
      </c>
      <c r="E215" t="s">
        <v>20</v>
      </c>
      <c r="F215">
        <v>27</v>
      </c>
      <c r="G215">
        <v>43</v>
      </c>
      <c r="H215" t="s">
        <v>47</v>
      </c>
      <c r="I215">
        <v>2200</v>
      </c>
      <c r="J215">
        <v>9606.77</v>
      </c>
      <c r="K215">
        <v>2</v>
      </c>
      <c r="L215">
        <v>4937.5</v>
      </c>
      <c r="M215" t="s">
        <v>64</v>
      </c>
      <c r="N215">
        <f>Table1[[#This Row],[Quantity]]*Table1[[#This Row],[Unit Price (₹)]]</f>
        <v>59400</v>
      </c>
      <c r="O215">
        <f>MAX(0,Table1[[#This Row],[Reorder Level]]-Table1[[#This Row],[Quantity]])</f>
        <v>16</v>
      </c>
      <c r="P215">
        <f>MAX(0,Table1[[#This Row],[Quantity]]-Table1[[#This Row],[Reorder Level]])</f>
        <v>0</v>
      </c>
      <c r="Q215">
        <f>Table1[[#This Row],[Above Reorder QTY]]*Table1[[#This Row],[Unit Price (₹)]]</f>
        <v>0</v>
      </c>
    </row>
    <row r="216" spans="1:17" x14ac:dyDescent="0.25">
      <c r="A216" s="3">
        <v>45870</v>
      </c>
      <c r="B216" t="s">
        <v>39</v>
      </c>
      <c r="C216" t="s">
        <v>31</v>
      </c>
      <c r="D216" t="s">
        <v>42</v>
      </c>
      <c r="E216" t="s">
        <v>20</v>
      </c>
      <c r="F216">
        <v>18</v>
      </c>
      <c r="G216">
        <v>12</v>
      </c>
      <c r="H216" t="s">
        <v>55</v>
      </c>
      <c r="I216">
        <v>650</v>
      </c>
      <c r="J216">
        <v>1045.0999999999999</v>
      </c>
      <c r="K216">
        <v>2</v>
      </c>
      <c r="L216">
        <v>1448.12</v>
      </c>
      <c r="M216" t="s">
        <v>65</v>
      </c>
      <c r="N216">
        <f>Table1[[#This Row],[Quantity]]*Table1[[#This Row],[Unit Price (₹)]]</f>
        <v>11700</v>
      </c>
      <c r="O216">
        <f>MAX(0,Table1[[#This Row],[Reorder Level]]-Table1[[#This Row],[Quantity]])</f>
        <v>0</v>
      </c>
      <c r="P216">
        <f>MAX(0,Table1[[#This Row],[Quantity]]-Table1[[#This Row],[Reorder Level]])</f>
        <v>6</v>
      </c>
      <c r="Q216">
        <f>Table1[[#This Row],[Above Reorder QTY]]*Table1[[#This Row],[Unit Price (₹)]]</f>
        <v>3900</v>
      </c>
    </row>
    <row r="217" spans="1:17" x14ac:dyDescent="0.25">
      <c r="A217" s="3">
        <v>45871</v>
      </c>
      <c r="B217" t="s">
        <v>51</v>
      </c>
      <c r="C217" t="s">
        <v>18</v>
      </c>
      <c r="D217" t="s">
        <v>32</v>
      </c>
      <c r="E217" t="s">
        <v>26</v>
      </c>
      <c r="F217">
        <v>147</v>
      </c>
      <c r="G217">
        <v>41</v>
      </c>
      <c r="H217" t="s">
        <v>55</v>
      </c>
      <c r="I217">
        <v>450</v>
      </c>
      <c r="J217">
        <v>10603.29</v>
      </c>
      <c r="K217">
        <v>25</v>
      </c>
      <c r="L217">
        <v>11988.68</v>
      </c>
      <c r="M217" t="s">
        <v>65</v>
      </c>
      <c r="N217">
        <f>Table1[[#This Row],[Quantity]]*Table1[[#This Row],[Unit Price (₹)]]</f>
        <v>66150</v>
      </c>
      <c r="O217">
        <f>MAX(0,Table1[[#This Row],[Reorder Level]]-Table1[[#This Row],[Quantity]])</f>
        <v>0</v>
      </c>
      <c r="P217">
        <f>MAX(0,Table1[[#This Row],[Quantity]]-Table1[[#This Row],[Reorder Level]])</f>
        <v>106</v>
      </c>
      <c r="Q217">
        <f>Table1[[#This Row],[Above Reorder QTY]]*Table1[[#This Row],[Unit Price (₹)]]</f>
        <v>47700</v>
      </c>
    </row>
    <row r="218" spans="1:17" x14ac:dyDescent="0.25">
      <c r="A218" s="3">
        <v>45872</v>
      </c>
      <c r="B218" t="s">
        <v>34</v>
      </c>
      <c r="C218" t="s">
        <v>18</v>
      </c>
      <c r="D218" t="s">
        <v>44</v>
      </c>
      <c r="E218" t="s">
        <v>20</v>
      </c>
      <c r="F218">
        <v>71</v>
      </c>
      <c r="G218">
        <v>32</v>
      </c>
      <c r="H218" t="s">
        <v>55</v>
      </c>
      <c r="I218">
        <v>8500</v>
      </c>
      <c r="J218">
        <v>77450.73</v>
      </c>
      <c r="K218">
        <v>14</v>
      </c>
      <c r="L218">
        <v>131852.73000000001</v>
      </c>
      <c r="M218" t="s">
        <v>65</v>
      </c>
      <c r="N218">
        <f>Table1[[#This Row],[Quantity]]*Table1[[#This Row],[Unit Price (₹)]]</f>
        <v>603500</v>
      </c>
      <c r="O218">
        <f>MAX(0,Table1[[#This Row],[Reorder Level]]-Table1[[#This Row],[Quantity]])</f>
        <v>0</v>
      </c>
      <c r="P218">
        <f>MAX(0,Table1[[#This Row],[Quantity]]-Table1[[#This Row],[Reorder Level]])</f>
        <v>39</v>
      </c>
      <c r="Q218">
        <f>Table1[[#This Row],[Above Reorder QTY]]*Table1[[#This Row],[Unit Price (₹)]]</f>
        <v>331500</v>
      </c>
    </row>
    <row r="219" spans="1:17" x14ac:dyDescent="0.25">
      <c r="A219" s="3">
        <v>45873</v>
      </c>
      <c r="B219" t="s">
        <v>39</v>
      </c>
      <c r="C219" t="s">
        <v>31</v>
      </c>
      <c r="D219" t="s">
        <v>42</v>
      </c>
      <c r="E219" t="s">
        <v>35</v>
      </c>
      <c r="F219">
        <v>42</v>
      </c>
      <c r="G219">
        <v>15</v>
      </c>
      <c r="H219" t="s">
        <v>55</v>
      </c>
      <c r="I219">
        <v>650</v>
      </c>
      <c r="J219">
        <v>1069.03</v>
      </c>
      <c r="K219">
        <v>1</v>
      </c>
      <c r="L219">
        <v>633.79999999999995</v>
      </c>
      <c r="M219" t="s">
        <v>65</v>
      </c>
      <c r="N219">
        <f>Table1[[#This Row],[Quantity]]*Table1[[#This Row],[Unit Price (₹)]]</f>
        <v>27300</v>
      </c>
      <c r="O219">
        <f>MAX(0,Table1[[#This Row],[Reorder Level]]-Table1[[#This Row],[Quantity]])</f>
        <v>0</v>
      </c>
      <c r="P219">
        <f>MAX(0,Table1[[#This Row],[Quantity]]-Table1[[#This Row],[Reorder Level]])</f>
        <v>27</v>
      </c>
      <c r="Q219">
        <f>Table1[[#This Row],[Above Reorder QTY]]*Table1[[#This Row],[Unit Price (₹)]]</f>
        <v>17550</v>
      </c>
    </row>
    <row r="220" spans="1:17" x14ac:dyDescent="0.25">
      <c r="A220" s="3">
        <v>45874</v>
      </c>
      <c r="B220" t="s">
        <v>36</v>
      </c>
      <c r="C220" t="s">
        <v>24</v>
      </c>
      <c r="D220" t="s">
        <v>42</v>
      </c>
      <c r="E220" t="s">
        <v>33</v>
      </c>
      <c r="F220">
        <v>231</v>
      </c>
      <c r="G220">
        <v>44</v>
      </c>
      <c r="H220" t="s">
        <v>55</v>
      </c>
      <c r="I220">
        <v>3500</v>
      </c>
      <c r="J220">
        <v>74004.789999999994</v>
      </c>
      <c r="K220">
        <v>4</v>
      </c>
      <c r="L220">
        <v>14947.26</v>
      </c>
      <c r="M220" t="s">
        <v>65</v>
      </c>
      <c r="N220">
        <f>Table1[[#This Row],[Quantity]]*Table1[[#This Row],[Unit Price (₹)]]</f>
        <v>808500</v>
      </c>
      <c r="O220">
        <f>MAX(0,Table1[[#This Row],[Reorder Level]]-Table1[[#This Row],[Quantity]])</f>
        <v>0</v>
      </c>
      <c r="P220">
        <f>MAX(0,Table1[[#This Row],[Quantity]]-Table1[[#This Row],[Reorder Level]])</f>
        <v>187</v>
      </c>
      <c r="Q220">
        <f>Table1[[#This Row],[Above Reorder QTY]]*Table1[[#This Row],[Unit Price (₹)]]</f>
        <v>654500</v>
      </c>
    </row>
    <row r="221" spans="1:17" x14ac:dyDescent="0.25">
      <c r="A221" s="3">
        <v>45875</v>
      </c>
      <c r="B221" t="s">
        <v>58</v>
      </c>
      <c r="C221" t="s">
        <v>28</v>
      </c>
      <c r="D221" t="s">
        <v>41</v>
      </c>
      <c r="E221" t="s">
        <v>33</v>
      </c>
      <c r="F221">
        <v>154</v>
      </c>
      <c r="G221">
        <v>15</v>
      </c>
      <c r="H221" t="s">
        <v>55</v>
      </c>
      <c r="I221">
        <v>3000</v>
      </c>
      <c r="J221">
        <v>42353.62</v>
      </c>
      <c r="K221">
        <v>5</v>
      </c>
      <c r="L221">
        <v>16151.14</v>
      </c>
      <c r="M221" t="s">
        <v>65</v>
      </c>
      <c r="N221">
        <f>Table1[[#This Row],[Quantity]]*Table1[[#This Row],[Unit Price (₹)]]</f>
        <v>462000</v>
      </c>
      <c r="O221">
        <f>MAX(0,Table1[[#This Row],[Reorder Level]]-Table1[[#This Row],[Quantity]])</f>
        <v>0</v>
      </c>
      <c r="P221">
        <f>MAX(0,Table1[[#This Row],[Quantity]]-Table1[[#This Row],[Reorder Level]])</f>
        <v>139</v>
      </c>
      <c r="Q221">
        <f>Table1[[#This Row],[Above Reorder QTY]]*Table1[[#This Row],[Unit Price (₹)]]</f>
        <v>417000</v>
      </c>
    </row>
    <row r="222" spans="1:17" x14ac:dyDescent="0.25">
      <c r="A222" s="3">
        <v>45876</v>
      </c>
      <c r="B222" t="s">
        <v>43</v>
      </c>
      <c r="C222" t="s">
        <v>24</v>
      </c>
      <c r="D222" t="s">
        <v>19</v>
      </c>
      <c r="E222" t="s">
        <v>33</v>
      </c>
      <c r="F222">
        <v>98</v>
      </c>
      <c r="G222">
        <v>50</v>
      </c>
      <c r="H222" t="s">
        <v>55</v>
      </c>
      <c r="I222">
        <v>2200</v>
      </c>
      <c r="J222">
        <v>9710.3700000000008</v>
      </c>
      <c r="K222">
        <v>15</v>
      </c>
      <c r="L222">
        <v>34482.57</v>
      </c>
      <c r="M222" t="s">
        <v>65</v>
      </c>
      <c r="N222">
        <f>Table1[[#This Row],[Quantity]]*Table1[[#This Row],[Unit Price (₹)]]</f>
        <v>215600</v>
      </c>
      <c r="O222">
        <f>MAX(0,Table1[[#This Row],[Reorder Level]]-Table1[[#This Row],[Quantity]])</f>
        <v>0</v>
      </c>
      <c r="P222">
        <f>MAX(0,Table1[[#This Row],[Quantity]]-Table1[[#This Row],[Reorder Level]])</f>
        <v>48</v>
      </c>
      <c r="Q222">
        <f>Table1[[#This Row],[Above Reorder QTY]]*Table1[[#This Row],[Unit Price (₹)]]</f>
        <v>105600</v>
      </c>
    </row>
    <row r="223" spans="1:17" x14ac:dyDescent="0.25">
      <c r="A223" s="3">
        <v>45877</v>
      </c>
      <c r="B223" t="s">
        <v>51</v>
      </c>
      <c r="C223" t="s">
        <v>18</v>
      </c>
      <c r="D223" t="s">
        <v>32</v>
      </c>
      <c r="E223" t="s">
        <v>45</v>
      </c>
      <c r="F223">
        <v>158</v>
      </c>
      <c r="G223">
        <v>25</v>
      </c>
      <c r="H223" t="s">
        <v>55</v>
      </c>
      <c r="I223">
        <v>450</v>
      </c>
      <c r="J223">
        <v>11405.28</v>
      </c>
      <c r="K223">
        <v>5</v>
      </c>
      <c r="L223">
        <v>2181.52</v>
      </c>
      <c r="M223" t="s">
        <v>65</v>
      </c>
      <c r="N223">
        <f>Table1[[#This Row],[Quantity]]*Table1[[#This Row],[Unit Price (₹)]]</f>
        <v>71100</v>
      </c>
      <c r="O223">
        <f>MAX(0,Table1[[#This Row],[Reorder Level]]-Table1[[#This Row],[Quantity]])</f>
        <v>0</v>
      </c>
      <c r="P223">
        <f>MAX(0,Table1[[#This Row],[Quantity]]-Table1[[#This Row],[Reorder Level]])</f>
        <v>133</v>
      </c>
      <c r="Q223">
        <f>Table1[[#This Row],[Above Reorder QTY]]*Table1[[#This Row],[Unit Price (₹)]]</f>
        <v>59850</v>
      </c>
    </row>
    <row r="224" spans="1:17" x14ac:dyDescent="0.25">
      <c r="A224" s="3">
        <v>45878</v>
      </c>
      <c r="B224" t="s">
        <v>57</v>
      </c>
      <c r="C224" t="s">
        <v>24</v>
      </c>
      <c r="D224" t="s">
        <v>32</v>
      </c>
      <c r="E224" t="s">
        <v>37</v>
      </c>
      <c r="F224">
        <v>184</v>
      </c>
      <c r="G224">
        <v>40</v>
      </c>
      <c r="H224" t="s">
        <v>55</v>
      </c>
      <c r="I224">
        <v>1200</v>
      </c>
      <c r="J224">
        <v>66138.12</v>
      </c>
      <c r="K224">
        <v>39</v>
      </c>
      <c r="L224">
        <v>53524.42</v>
      </c>
      <c r="M224" t="s">
        <v>65</v>
      </c>
      <c r="N224">
        <f>Table1[[#This Row],[Quantity]]*Table1[[#This Row],[Unit Price (₹)]]</f>
        <v>220800</v>
      </c>
      <c r="O224">
        <f>MAX(0,Table1[[#This Row],[Reorder Level]]-Table1[[#This Row],[Quantity]])</f>
        <v>0</v>
      </c>
      <c r="P224">
        <f>MAX(0,Table1[[#This Row],[Quantity]]-Table1[[#This Row],[Reorder Level]])</f>
        <v>144</v>
      </c>
      <c r="Q224">
        <f>Table1[[#This Row],[Above Reorder QTY]]*Table1[[#This Row],[Unit Price (₹)]]</f>
        <v>172800</v>
      </c>
    </row>
    <row r="225" spans="1:17" x14ac:dyDescent="0.25">
      <c r="A225" s="3">
        <v>45879</v>
      </c>
      <c r="B225" t="s">
        <v>57</v>
      </c>
      <c r="C225" t="s">
        <v>24</v>
      </c>
      <c r="D225" t="s">
        <v>19</v>
      </c>
      <c r="E225" t="s">
        <v>33</v>
      </c>
      <c r="F225">
        <v>197</v>
      </c>
      <c r="G225">
        <v>33</v>
      </c>
      <c r="H225" t="s">
        <v>55</v>
      </c>
      <c r="I225">
        <v>1200</v>
      </c>
      <c r="J225">
        <v>11892.75</v>
      </c>
      <c r="K225">
        <v>1</v>
      </c>
      <c r="L225">
        <v>1214.27</v>
      </c>
      <c r="M225" t="s">
        <v>65</v>
      </c>
      <c r="N225">
        <f>Table1[[#This Row],[Quantity]]*Table1[[#This Row],[Unit Price (₹)]]</f>
        <v>236400</v>
      </c>
      <c r="O225">
        <f>MAX(0,Table1[[#This Row],[Reorder Level]]-Table1[[#This Row],[Quantity]])</f>
        <v>0</v>
      </c>
      <c r="P225">
        <f>MAX(0,Table1[[#This Row],[Quantity]]-Table1[[#This Row],[Reorder Level]])</f>
        <v>164</v>
      </c>
      <c r="Q225">
        <f>Table1[[#This Row],[Above Reorder QTY]]*Table1[[#This Row],[Unit Price (₹)]]</f>
        <v>196800</v>
      </c>
    </row>
    <row r="226" spans="1:17" x14ac:dyDescent="0.25">
      <c r="A226" s="3">
        <v>45880</v>
      </c>
      <c r="B226" t="s">
        <v>23</v>
      </c>
      <c r="C226" t="s">
        <v>24</v>
      </c>
      <c r="D226" t="s">
        <v>41</v>
      </c>
      <c r="E226" t="s">
        <v>20</v>
      </c>
      <c r="F226">
        <v>184</v>
      </c>
      <c r="G226">
        <v>11</v>
      </c>
      <c r="H226" t="s">
        <v>21</v>
      </c>
      <c r="I226">
        <v>2800</v>
      </c>
      <c r="J226">
        <v>129395.37</v>
      </c>
      <c r="K226">
        <v>45</v>
      </c>
      <c r="L226">
        <v>142760.48000000001</v>
      </c>
      <c r="M226" t="s">
        <v>65</v>
      </c>
      <c r="N226">
        <f>Table1[[#This Row],[Quantity]]*Table1[[#This Row],[Unit Price (₹)]]</f>
        <v>515200</v>
      </c>
      <c r="O226">
        <f>MAX(0,Table1[[#This Row],[Reorder Level]]-Table1[[#This Row],[Quantity]])</f>
        <v>0</v>
      </c>
      <c r="P226">
        <f>MAX(0,Table1[[#This Row],[Quantity]]-Table1[[#This Row],[Reorder Level]])</f>
        <v>173</v>
      </c>
      <c r="Q226">
        <f>Table1[[#This Row],[Above Reorder QTY]]*Table1[[#This Row],[Unit Price (₹)]]</f>
        <v>484400</v>
      </c>
    </row>
    <row r="227" spans="1:17" x14ac:dyDescent="0.25">
      <c r="A227" s="3">
        <v>45881</v>
      </c>
      <c r="B227" t="s">
        <v>57</v>
      </c>
      <c r="C227" t="s">
        <v>24</v>
      </c>
      <c r="D227" t="s">
        <v>25</v>
      </c>
      <c r="E227" t="s">
        <v>37</v>
      </c>
      <c r="F227">
        <v>188</v>
      </c>
      <c r="G227">
        <v>37</v>
      </c>
      <c r="H227" t="s">
        <v>21</v>
      </c>
      <c r="I227">
        <v>1200</v>
      </c>
      <c r="J227">
        <v>25605.88</v>
      </c>
      <c r="K227">
        <v>13</v>
      </c>
      <c r="L227">
        <v>15012.43</v>
      </c>
      <c r="M227" t="s">
        <v>65</v>
      </c>
      <c r="N227">
        <f>Table1[[#This Row],[Quantity]]*Table1[[#This Row],[Unit Price (₹)]]</f>
        <v>225600</v>
      </c>
      <c r="O227">
        <f>MAX(0,Table1[[#This Row],[Reorder Level]]-Table1[[#This Row],[Quantity]])</f>
        <v>0</v>
      </c>
      <c r="P227">
        <f>MAX(0,Table1[[#This Row],[Quantity]]-Table1[[#This Row],[Reorder Level]])</f>
        <v>151</v>
      </c>
      <c r="Q227">
        <f>Table1[[#This Row],[Above Reorder QTY]]*Table1[[#This Row],[Unit Price (₹)]]</f>
        <v>181200</v>
      </c>
    </row>
    <row r="228" spans="1:17" x14ac:dyDescent="0.25">
      <c r="A228" s="3">
        <v>45882</v>
      </c>
      <c r="B228" t="s">
        <v>27</v>
      </c>
      <c r="C228" t="s">
        <v>28</v>
      </c>
      <c r="D228" t="s">
        <v>32</v>
      </c>
      <c r="E228" t="s">
        <v>20</v>
      </c>
      <c r="F228">
        <v>47</v>
      </c>
      <c r="G228">
        <v>35</v>
      </c>
      <c r="H228" t="s">
        <v>21</v>
      </c>
      <c r="I228">
        <v>18</v>
      </c>
      <c r="J228">
        <v>184.68</v>
      </c>
      <c r="K228">
        <v>10</v>
      </c>
      <c r="L228">
        <v>196.46</v>
      </c>
      <c r="M228" t="s">
        <v>65</v>
      </c>
      <c r="N228">
        <f>Table1[[#This Row],[Quantity]]*Table1[[#This Row],[Unit Price (₹)]]</f>
        <v>846</v>
      </c>
      <c r="O228">
        <f>MAX(0,Table1[[#This Row],[Reorder Level]]-Table1[[#This Row],[Quantity]])</f>
        <v>0</v>
      </c>
      <c r="P228">
        <f>MAX(0,Table1[[#This Row],[Quantity]]-Table1[[#This Row],[Reorder Level]])</f>
        <v>12</v>
      </c>
      <c r="Q228">
        <f>Table1[[#This Row],[Above Reorder QTY]]*Table1[[#This Row],[Unit Price (₹)]]</f>
        <v>216</v>
      </c>
    </row>
    <row r="229" spans="1:17" x14ac:dyDescent="0.25">
      <c r="A229" s="3">
        <v>45883</v>
      </c>
      <c r="B229" t="s">
        <v>36</v>
      </c>
      <c r="C229" t="s">
        <v>24</v>
      </c>
      <c r="D229" t="s">
        <v>41</v>
      </c>
      <c r="E229" t="s">
        <v>20</v>
      </c>
      <c r="F229">
        <v>81</v>
      </c>
      <c r="G229">
        <v>34</v>
      </c>
      <c r="H229" t="s">
        <v>21</v>
      </c>
      <c r="I229">
        <v>3500</v>
      </c>
      <c r="J229">
        <v>78776.649999999994</v>
      </c>
      <c r="K229">
        <v>6</v>
      </c>
      <c r="L229">
        <v>21101.47</v>
      </c>
      <c r="M229" t="s">
        <v>65</v>
      </c>
      <c r="N229">
        <f>Table1[[#This Row],[Quantity]]*Table1[[#This Row],[Unit Price (₹)]]</f>
        <v>283500</v>
      </c>
      <c r="O229">
        <f>MAX(0,Table1[[#This Row],[Reorder Level]]-Table1[[#This Row],[Quantity]])</f>
        <v>0</v>
      </c>
      <c r="P229">
        <f>MAX(0,Table1[[#This Row],[Quantity]]-Table1[[#This Row],[Reorder Level]])</f>
        <v>47</v>
      </c>
      <c r="Q229">
        <f>Table1[[#This Row],[Above Reorder QTY]]*Table1[[#This Row],[Unit Price (₹)]]</f>
        <v>164500</v>
      </c>
    </row>
    <row r="230" spans="1:17" x14ac:dyDescent="0.25">
      <c r="A230" s="3">
        <v>45884</v>
      </c>
      <c r="B230" t="s">
        <v>58</v>
      </c>
      <c r="C230" t="s">
        <v>28</v>
      </c>
      <c r="D230" t="s">
        <v>25</v>
      </c>
      <c r="E230" t="s">
        <v>26</v>
      </c>
      <c r="F230">
        <v>12</v>
      </c>
      <c r="G230">
        <v>35</v>
      </c>
      <c r="H230" t="s">
        <v>47</v>
      </c>
      <c r="I230">
        <v>3000</v>
      </c>
      <c r="J230">
        <v>7808.66</v>
      </c>
      <c r="K230">
        <v>2</v>
      </c>
      <c r="L230">
        <v>5865.94</v>
      </c>
      <c r="M230" t="s">
        <v>65</v>
      </c>
      <c r="N230">
        <f>Table1[[#This Row],[Quantity]]*Table1[[#This Row],[Unit Price (₹)]]</f>
        <v>36000</v>
      </c>
      <c r="O230">
        <f>MAX(0,Table1[[#This Row],[Reorder Level]]-Table1[[#This Row],[Quantity]])</f>
        <v>23</v>
      </c>
      <c r="P230">
        <f>MAX(0,Table1[[#This Row],[Quantity]]-Table1[[#This Row],[Reorder Level]])</f>
        <v>0</v>
      </c>
      <c r="Q230">
        <f>Table1[[#This Row],[Above Reorder QTY]]*Table1[[#This Row],[Unit Price (₹)]]</f>
        <v>0</v>
      </c>
    </row>
    <row r="231" spans="1:17" x14ac:dyDescent="0.25">
      <c r="A231" s="3">
        <v>45885</v>
      </c>
      <c r="B231" t="s">
        <v>57</v>
      </c>
      <c r="C231" t="s">
        <v>24</v>
      </c>
      <c r="D231" t="s">
        <v>42</v>
      </c>
      <c r="E231" t="s">
        <v>45</v>
      </c>
      <c r="F231">
        <v>159</v>
      </c>
      <c r="G231">
        <v>24</v>
      </c>
      <c r="H231" t="s">
        <v>21</v>
      </c>
      <c r="I231">
        <v>1200</v>
      </c>
      <c r="J231">
        <v>34206.120000000003</v>
      </c>
      <c r="K231">
        <v>19</v>
      </c>
      <c r="L231">
        <v>25135.52</v>
      </c>
      <c r="M231" t="s">
        <v>65</v>
      </c>
      <c r="N231">
        <f>Table1[[#This Row],[Quantity]]*Table1[[#This Row],[Unit Price (₹)]]</f>
        <v>190800</v>
      </c>
      <c r="O231">
        <f>MAX(0,Table1[[#This Row],[Reorder Level]]-Table1[[#This Row],[Quantity]])</f>
        <v>0</v>
      </c>
      <c r="P231">
        <f>MAX(0,Table1[[#This Row],[Quantity]]-Table1[[#This Row],[Reorder Level]])</f>
        <v>135</v>
      </c>
      <c r="Q231">
        <f>Table1[[#This Row],[Above Reorder QTY]]*Table1[[#This Row],[Unit Price (₹)]]</f>
        <v>162000</v>
      </c>
    </row>
    <row r="232" spans="1:17" x14ac:dyDescent="0.25">
      <c r="A232" s="3">
        <v>45886</v>
      </c>
      <c r="B232" t="s">
        <v>43</v>
      </c>
      <c r="C232" t="s">
        <v>24</v>
      </c>
      <c r="D232" t="s">
        <v>32</v>
      </c>
      <c r="E232" t="s">
        <v>26</v>
      </c>
      <c r="F232">
        <v>35</v>
      </c>
      <c r="G232">
        <v>16</v>
      </c>
      <c r="H232" t="s">
        <v>21</v>
      </c>
      <c r="I232">
        <v>2200</v>
      </c>
      <c r="J232">
        <v>8198.23</v>
      </c>
      <c r="K232">
        <v>5</v>
      </c>
      <c r="L232">
        <v>12219.62</v>
      </c>
      <c r="M232" t="s">
        <v>65</v>
      </c>
      <c r="N232">
        <f>Table1[[#This Row],[Quantity]]*Table1[[#This Row],[Unit Price (₹)]]</f>
        <v>77000</v>
      </c>
      <c r="O232">
        <f>MAX(0,Table1[[#This Row],[Reorder Level]]-Table1[[#This Row],[Quantity]])</f>
        <v>0</v>
      </c>
      <c r="P232">
        <f>MAX(0,Table1[[#This Row],[Quantity]]-Table1[[#This Row],[Reorder Level]])</f>
        <v>19</v>
      </c>
      <c r="Q232">
        <f>Table1[[#This Row],[Above Reorder QTY]]*Table1[[#This Row],[Unit Price (₹)]]</f>
        <v>41800</v>
      </c>
    </row>
    <row r="233" spans="1:17" x14ac:dyDescent="0.25">
      <c r="A233" s="3">
        <v>45887</v>
      </c>
      <c r="B233" t="s">
        <v>43</v>
      </c>
      <c r="C233" t="s">
        <v>24</v>
      </c>
      <c r="D233" t="s">
        <v>44</v>
      </c>
      <c r="E233" t="s">
        <v>37</v>
      </c>
      <c r="F233">
        <v>90</v>
      </c>
      <c r="G233">
        <v>15</v>
      </c>
      <c r="H233" t="s">
        <v>21</v>
      </c>
      <c r="I233">
        <v>2200</v>
      </c>
      <c r="J233">
        <v>35590.21</v>
      </c>
      <c r="K233">
        <v>5</v>
      </c>
      <c r="L233">
        <v>10558.14</v>
      </c>
      <c r="M233" t="s">
        <v>65</v>
      </c>
      <c r="N233">
        <f>Table1[[#This Row],[Quantity]]*Table1[[#This Row],[Unit Price (₹)]]</f>
        <v>198000</v>
      </c>
      <c r="O233">
        <f>MAX(0,Table1[[#This Row],[Reorder Level]]-Table1[[#This Row],[Quantity]])</f>
        <v>0</v>
      </c>
      <c r="P233">
        <f>MAX(0,Table1[[#This Row],[Quantity]]-Table1[[#This Row],[Reorder Level]])</f>
        <v>75</v>
      </c>
      <c r="Q233">
        <f>Table1[[#This Row],[Above Reorder QTY]]*Table1[[#This Row],[Unit Price (₹)]]</f>
        <v>165000</v>
      </c>
    </row>
    <row r="234" spans="1:17" x14ac:dyDescent="0.25">
      <c r="A234" s="3">
        <v>45888</v>
      </c>
      <c r="B234" t="s">
        <v>38</v>
      </c>
      <c r="C234" t="s">
        <v>18</v>
      </c>
      <c r="D234" t="s">
        <v>32</v>
      </c>
      <c r="E234" t="s">
        <v>29</v>
      </c>
      <c r="F234">
        <v>164</v>
      </c>
      <c r="G234">
        <v>20</v>
      </c>
      <c r="H234" t="s">
        <v>21</v>
      </c>
      <c r="I234">
        <v>4500</v>
      </c>
      <c r="J234">
        <v>7164.1</v>
      </c>
      <c r="K234">
        <v>14</v>
      </c>
      <c r="L234">
        <v>61504.83</v>
      </c>
      <c r="M234" t="s">
        <v>65</v>
      </c>
      <c r="N234">
        <f>Table1[[#This Row],[Quantity]]*Table1[[#This Row],[Unit Price (₹)]]</f>
        <v>738000</v>
      </c>
      <c r="O234">
        <f>MAX(0,Table1[[#This Row],[Reorder Level]]-Table1[[#This Row],[Quantity]])</f>
        <v>0</v>
      </c>
      <c r="P234">
        <f>MAX(0,Table1[[#This Row],[Quantity]]-Table1[[#This Row],[Reorder Level]])</f>
        <v>144</v>
      </c>
      <c r="Q234">
        <f>Table1[[#This Row],[Above Reorder QTY]]*Table1[[#This Row],[Unit Price (₹)]]</f>
        <v>648000</v>
      </c>
    </row>
    <row r="235" spans="1:17" x14ac:dyDescent="0.25">
      <c r="A235" s="3">
        <v>45889</v>
      </c>
      <c r="B235" t="s">
        <v>38</v>
      </c>
      <c r="C235" t="s">
        <v>18</v>
      </c>
      <c r="D235" t="s">
        <v>32</v>
      </c>
      <c r="E235" t="s">
        <v>37</v>
      </c>
      <c r="F235">
        <v>172</v>
      </c>
      <c r="G235">
        <v>37</v>
      </c>
      <c r="H235" t="s">
        <v>21</v>
      </c>
      <c r="I235">
        <v>4500</v>
      </c>
      <c r="J235">
        <v>180291.73</v>
      </c>
      <c r="K235">
        <v>30</v>
      </c>
      <c r="L235">
        <v>128280.24</v>
      </c>
      <c r="M235" t="s">
        <v>65</v>
      </c>
      <c r="N235">
        <f>Table1[[#This Row],[Quantity]]*Table1[[#This Row],[Unit Price (₹)]]</f>
        <v>774000</v>
      </c>
      <c r="O235">
        <f>MAX(0,Table1[[#This Row],[Reorder Level]]-Table1[[#This Row],[Quantity]])</f>
        <v>0</v>
      </c>
      <c r="P235">
        <f>MAX(0,Table1[[#This Row],[Quantity]]-Table1[[#This Row],[Reorder Level]])</f>
        <v>135</v>
      </c>
      <c r="Q235">
        <f>Table1[[#This Row],[Above Reorder QTY]]*Table1[[#This Row],[Unit Price (₹)]]</f>
        <v>607500</v>
      </c>
    </row>
    <row r="236" spans="1:17" x14ac:dyDescent="0.25">
      <c r="A236" s="3">
        <v>45890</v>
      </c>
      <c r="B236" t="s">
        <v>53</v>
      </c>
      <c r="C236" t="s">
        <v>28</v>
      </c>
      <c r="D236" t="s">
        <v>25</v>
      </c>
      <c r="E236" t="s">
        <v>33</v>
      </c>
      <c r="F236">
        <v>189</v>
      </c>
      <c r="G236">
        <v>22</v>
      </c>
      <c r="H236" t="s">
        <v>21</v>
      </c>
      <c r="I236">
        <v>120</v>
      </c>
      <c r="J236">
        <v>5500.66</v>
      </c>
      <c r="K236">
        <v>21</v>
      </c>
      <c r="L236">
        <v>2836.39</v>
      </c>
      <c r="M236" t="s">
        <v>65</v>
      </c>
      <c r="N236">
        <f>Table1[[#This Row],[Quantity]]*Table1[[#This Row],[Unit Price (₹)]]</f>
        <v>22680</v>
      </c>
      <c r="O236">
        <f>MAX(0,Table1[[#This Row],[Reorder Level]]-Table1[[#This Row],[Quantity]])</f>
        <v>0</v>
      </c>
      <c r="P236">
        <f>MAX(0,Table1[[#This Row],[Quantity]]-Table1[[#This Row],[Reorder Level]])</f>
        <v>167</v>
      </c>
      <c r="Q236">
        <f>Table1[[#This Row],[Above Reorder QTY]]*Table1[[#This Row],[Unit Price (₹)]]</f>
        <v>20040</v>
      </c>
    </row>
    <row r="237" spans="1:17" x14ac:dyDescent="0.25">
      <c r="A237" s="3">
        <v>45891</v>
      </c>
      <c r="B237" t="s">
        <v>38</v>
      </c>
      <c r="C237" t="s">
        <v>18</v>
      </c>
      <c r="D237" t="s">
        <v>42</v>
      </c>
      <c r="E237" t="s">
        <v>35</v>
      </c>
      <c r="F237">
        <v>132</v>
      </c>
      <c r="G237">
        <v>44</v>
      </c>
      <c r="H237" t="s">
        <v>21</v>
      </c>
      <c r="I237">
        <v>4500</v>
      </c>
      <c r="J237">
        <v>40059.800000000003</v>
      </c>
      <c r="K237">
        <v>7</v>
      </c>
      <c r="L237">
        <v>35781.800000000003</v>
      </c>
      <c r="M237" t="s">
        <v>65</v>
      </c>
      <c r="N237">
        <f>Table1[[#This Row],[Quantity]]*Table1[[#This Row],[Unit Price (₹)]]</f>
        <v>594000</v>
      </c>
      <c r="O237">
        <f>MAX(0,Table1[[#This Row],[Reorder Level]]-Table1[[#This Row],[Quantity]])</f>
        <v>0</v>
      </c>
      <c r="P237">
        <f>MAX(0,Table1[[#This Row],[Quantity]]-Table1[[#This Row],[Reorder Level]])</f>
        <v>88</v>
      </c>
      <c r="Q237">
        <f>Table1[[#This Row],[Above Reorder QTY]]*Table1[[#This Row],[Unit Price (₹)]]</f>
        <v>396000</v>
      </c>
    </row>
    <row r="238" spans="1:17" x14ac:dyDescent="0.25">
      <c r="A238" s="3">
        <v>45892</v>
      </c>
      <c r="B238" t="s">
        <v>48</v>
      </c>
      <c r="C238" t="s">
        <v>28</v>
      </c>
      <c r="D238" t="s">
        <v>32</v>
      </c>
      <c r="E238" t="s">
        <v>45</v>
      </c>
      <c r="F238">
        <v>228</v>
      </c>
      <c r="G238">
        <v>16</v>
      </c>
      <c r="H238" t="s">
        <v>21</v>
      </c>
      <c r="I238">
        <v>45</v>
      </c>
      <c r="J238">
        <v>2419.06</v>
      </c>
      <c r="K238">
        <v>51</v>
      </c>
      <c r="L238">
        <v>2298.11</v>
      </c>
      <c r="M238" t="s">
        <v>65</v>
      </c>
      <c r="N238">
        <f>Table1[[#This Row],[Quantity]]*Table1[[#This Row],[Unit Price (₹)]]</f>
        <v>10260</v>
      </c>
      <c r="O238">
        <f>MAX(0,Table1[[#This Row],[Reorder Level]]-Table1[[#This Row],[Quantity]])</f>
        <v>0</v>
      </c>
      <c r="P238">
        <f>MAX(0,Table1[[#This Row],[Quantity]]-Table1[[#This Row],[Reorder Level]])</f>
        <v>212</v>
      </c>
      <c r="Q238">
        <f>Table1[[#This Row],[Above Reorder QTY]]*Table1[[#This Row],[Unit Price (₹)]]</f>
        <v>9540</v>
      </c>
    </row>
    <row r="239" spans="1:17" x14ac:dyDescent="0.25">
      <c r="A239" s="3">
        <v>45893</v>
      </c>
      <c r="B239" t="s">
        <v>43</v>
      </c>
      <c r="C239" t="s">
        <v>24</v>
      </c>
      <c r="D239" t="s">
        <v>19</v>
      </c>
      <c r="E239" t="s">
        <v>20</v>
      </c>
      <c r="F239">
        <v>235</v>
      </c>
      <c r="G239">
        <v>33</v>
      </c>
      <c r="H239" t="s">
        <v>21</v>
      </c>
      <c r="I239">
        <v>2200</v>
      </c>
      <c r="J239">
        <v>68619.64</v>
      </c>
      <c r="K239">
        <v>14</v>
      </c>
      <c r="L239">
        <v>31023.360000000001</v>
      </c>
      <c r="M239" t="s">
        <v>65</v>
      </c>
      <c r="N239">
        <f>Table1[[#This Row],[Quantity]]*Table1[[#This Row],[Unit Price (₹)]]</f>
        <v>517000</v>
      </c>
      <c r="O239">
        <f>MAX(0,Table1[[#This Row],[Reorder Level]]-Table1[[#This Row],[Quantity]])</f>
        <v>0</v>
      </c>
      <c r="P239">
        <f>MAX(0,Table1[[#This Row],[Quantity]]-Table1[[#This Row],[Reorder Level]])</f>
        <v>202</v>
      </c>
      <c r="Q239">
        <f>Table1[[#This Row],[Above Reorder QTY]]*Table1[[#This Row],[Unit Price (₹)]]</f>
        <v>444400</v>
      </c>
    </row>
    <row r="240" spans="1:17" x14ac:dyDescent="0.25">
      <c r="A240" s="3">
        <v>45894</v>
      </c>
      <c r="B240" t="s">
        <v>17</v>
      </c>
      <c r="C240" t="s">
        <v>18</v>
      </c>
      <c r="D240" t="s">
        <v>44</v>
      </c>
      <c r="E240" t="s">
        <v>33</v>
      </c>
      <c r="F240">
        <v>177</v>
      </c>
      <c r="G240">
        <v>35</v>
      </c>
      <c r="H240" t="s">
        <v>21</v>
      </c>
      <c r="I240">
        <v>250</v>
      </c>
      <c r="J240">
        <v>3415.33</v>
      </c>
      <c r="K240">
        <v>2</v>
      </c>
      <c r="L240">
        <v>504.81</v>
      </c>
      <c r="M240" t="s">
        <v>65</v>
      </c>
      <c r="N240">
        <f>Table1[[#This Row],[Quantity]]*Table1[[#This Row],[Unit Price (₹)]]</f>
        <v>44250</v>
      </c>
      <c r="O240">
        <f>MAX(0,Table1[[#This Row],[Reorder Level]]-Table1[[#This Row],[Quantity]])</f>
        <v>0</v>
      </c>
      <c r="P240">
        <f>MAX(0,Table1[[#This Row],[Quantity]]-Table1[[#This Row],[Reorder Level]])</f>
        <v>142</v>
      </c>
      <c r="Q240">
        <f>Table1[[#This Row],[Above Reorder QTY]]*Table1[[#This Row],[Unit Price (₹)]]</f>
        <v>35500</v>
      </c>
    </row>
    <row r="241" spans="1:17" x14ac:dyDescent="0.25">
      <c r="A241" s="3">
        <v>45895</v>
      </c>
      <c r="B241" t="s">
        <v>39</v>
      </c>
      <c r="C241" t="s">
        <v>31</v>
      </c>
      <c r="D241" t="s">
        <v>42</v>
      </c>
      <c r="E241" t="s">
        <v>26</v>
      </c>
      <c r="F241">
        <v>186</v>
      </c>
      <c r="G241">
        <v>45</v>
      </c>
      <c r="H241" t="s">
        <v>21</v>
      </c>
      <c r="I241">
        <v>650</v>
      </c>
      <c r="J241">
        <v>23666.080000000002</v>
      </c>
      <c r="K241">
        <v>8</v>
      </c>
      <c r="L241">
        <v>5187.67</v>
      </c>
      <c r="M241" t="s">
        <v>65</v>
      </c>
      <c r="N241">
        <f>Table1[[#This Row],[Quantity]]*Table1[[#This Row],[Unit Price (₹)]]</f>
        <v>120900</v>
      </c>
      <c r="O241">
        <f>MAX(0,Table1[[#This Row],[Reorder Level]]-Table1[[#This Row],[Quantity]])</f>
        <v>0</v>
      </c>
      <c r="P241">
        <f>MAX(0,Table1[[#This Row],[Quantity]]-Table1[[#This Row],[Reorder Level]])</f>
        <v>141</v>
      </c>
      <c r="Q241">
        <f>Table1[[#This Row],[Above Reorder QTY]]*Table1[[#This Row],[Unit Price (₹)]]</f>
        <v>91650</v>
      </c>
    </row>
    <row r="242" spans="1:17" x14ac:dyDescent="0.25">
      <c r="A242" s="3">
        <v>45896</v>
      </c>
      <c r="B242" t="s">
        <v>61</v>
      </c>
      <c r="C242" t="s">
        <v>50</v>
      </c>
      <c r="D242" t="s">
        <v>32</v>
      </c>
      <c r="E242" t="s">
        <v>45</v>
      </c>
      <c r="F242">
        <v>219</v>
      </c>
      <c r="G242">
        <v>46</v>
      </c>
      <c r="H242" t="s">
        <v>21</v>
      </c>
      <c r="I242">
        <v>900</v>
      </c>
      <c r="J242">
        <v>4876.8599999999997</v>
      </c>
      <c r="K242">
        <v>14</v>
      </c>
      <c r="L242">
        <v>13812.18</v>
      </c>
      <c r="M242" t="s">
        <v>65</v>
      </c>
      <c r="N242">
        <f>Table1[[#This Row],[Quantity]]*Table1[[#This Row],[Unit Price (₹)]]</f>
        <v>197100</v>
      </c>
      <c r="O242">
        <f>MAX(0,Table1[[#This Row],[Reorder Level]]-Table1[[#This Row],[Quantity]])</f>
        <v>0</v>
      </c>
      <c r="P242">
        <f>MAX(0,Table1[[#This Row],[Quantity]]-Table1[[#This Row],[Reorder Level]])</f>
        <v>173</v>
      </c>
      <c r="Q242">
        <f>Table1[[#This Row],[Above Reorder QTY]]*Table1[[#This Row],[Unit Price (₹)]]</f>
        <v>155700</v>
      </c>
    </row>
    <row r="243" spans="1:17" x14ac:dyDescent="0.25">
      <c r="A243" s="3">
        <v>45897</v>
      </c>
      <c r="B243" t="s">
        <v>34</v>
      </c>
      <c r="C243" t="s">
        <v>18</v>
      </c>
      <c r="D243" t="s">
        <v>32</v>
      </c>
      <c r="E243" t="s">
        <v>35</v>
      </c>
      <c r="F243">
        <v>235</v>
      </c>
      <c r="G243">
        <v>34</v>
      </c>
      <c r="H243" t="s">
        <v>21</v>
      </c>
      <c r="I243">
        <v>8500</v>
      </c>
      <c r="J243">
        <v>488761.41</v>
      </c>
      <c r="K243">
        <v>22</v>
      </c>
      <c r="L243">
        <v>183926.27</v>
      </c>
      <c r="M243" t="s">
        <v>65</v>
      </c>
      <c r="N243">
        <f>Table1[[#This Row],[Quantity]]*Table1[[#This Row],[Unit Price (₹)]]</f>
        <v>1997500</v>
      </c>
      <c r="O243">
        <f>MAX(0,Table1[[#This Row],[Reorder Level]]-Table1[[#This Row],[Quantity]])</f>
        <v>0</v>
      </c>
      <c r="P243">
        <f>MAX(0,Table1[[#This Row],[Quantity]]-Table1[[#This Row],[Reorder Level]])</f>
        <v>201</v>
      </c>
      <c r="Q243">
        <f>Table1[[#This Row],[Above Reorder QTY]]*Table1[[#This Row],[Unit Price (₹)]]</f>
        <v>1708500</v>
      </c>
    </row>
    <row r="244" spans="1:17" x14ac:dyDescent="0.25">
      <c r="A244" s="3">
        <v>45898</v>
      </c>
      <c r="B244" t="s">
        <v>54</v>
      </c>
      <c r="C244" t="s">
        <v>50</v>
      </c>
      <c r="D244" t="s">
        <v>41</v>
      </c>
      <c r="E244" t="s">
        <v>45</v>
      </c>
      <c r="F244">
        <v>43</v>
      </c>
      <c r="G244">
        <v>45</v>
      </c>
      <c r="H244" t="s">
        <v>47</v>
      </c>
      <c r="I244">
        <v>1500</v>
      </c>
      <c r="J244">
        <v>4570.8599999999997</v>
      </c>
      <c r="K244">
        <v>8</v>
      </c>
      <c r="L244">
        <v>12051.99</v>
      </c>
      <c r="M244" t="s">
        <v>65</v>
      </c>
      <c r="N244">
        <f>Table1[[#This Row],[Quantity]]*Table1[[#This Row],[Unit Price (₹)]]</f>
        <v>64500</v>
      </c>
      <c r="O244">
        <f>MAX(0,Table1[[#This Row],[Reorder Level]]-Table1[[#This Row],[Quantity]])</f>
        <v>2</v>
      </c>
      <c r="P244">
        <f>MAX(0,Table1[[#This Row],[Quantity]]-Table1[[#This Row],[Reorder Level]])</f>
        <v>0</v>
      </c>
      <c r="Q244">
        <f>Table1[[#This Row],[Above Reorder QTY]]*Table1[[#This Row],[Unit Price (₹)]]</f>
        <v>0</v>
      </c>
    </row>
    <row r="245" spans="1:17" x14ac:dyDescent="0.25">
      <c r="A245" s="3">
        <v>45899</v>
      </c>
      <c r="B245" t="s">
        <v>17</v>
      </c>
      <c r="C245" t="s">
        <v>18</v>
      </c>
      <c r="D245" t="s">
        <v>32</v>
      </c>
      <c r="E245" t="s">
        <v>26</v>
      </c>
      <c r="F245">
        <v>45</v>
      </c>
      <c r="G245">
        <v>28</v>
      </c>
      <c r="H245" t="s">
        <v>21</v>
      </c>
      <c r="I245">
        <v>250</v>
      </c>
      <c r="J245">
        <v>1463.34</v>
      </c>
      <c r="K245">
        <v>1</v>
      </c>
      <c r="L245">
        <v>252.72</v>
      </c>
      <c r="M245" t="s">
        <v>65</v>
      </c>
      <c r="N245">
        <f>Table1[[#This Row],[Quantity]]*Table1[[#This Row],[Unit Price (₹)]]</f>
        <v>11250</v>
      </c>
      <c r="O245">
        <f>MAX(0,Table1[[#This Row],[Reorder Level]]-Table1[[#This Row],[Quantity]])</f>
        <v>0</v>
      </c>
      <c r="P245">
        <f>MAX(0,Table1[[#This Row],[Quantity]]-Table1[[#This Row],[Reorder Level]])</f>
        <v>17</v>
      </c>
      <c r="Q245">
        <f>Table1[[#This Row],[Above Reorder QTY]]*Table1[[#This Row],[Unit Price (₹)]]</f>
        <v>4250</v>
      </c>
    </row>
    <row r="246" spans="1:17" x14ac:dyDescent="0.25">
      <c r="A246" s="3">
        <v>45900</v>
      </c>
      <c r="B246" t="s">
        <v>46</v>
      </c>
      <c r="C246" t="s">
        <v>18</v>
      </c>
      <c r="D246" t="s">
        <v>32</v>
      </c>
      <c r="E246" t="s">
        <v>37</v>
      </c>
      <c r="F246">
        <v>158</v>
      </c>
      <c r="G246">
        <v>45</v>
      </c>
      <c r="H246" t="s">
        <v>21</v>
      </c>
      <c r="I246">
        <v>6000</v>
      </c>
      <c r="J246">
        <v>182021.57</v>
      </c>
      <c r="K246">
        <v>32</v>
      </c>
      <c r="L246">
        <v>193638.59</v>
      </c>
      <c r="M246" t="s">
        <v>65</v>
      </c>
      <c r="N246">
        <f>Table1[[#This Row],[Quantity]]*Table1[[#This Row],[Unit Price (₹)]]</f>
        <v>948000</v>
      </c>
      <c r="O246">
        <f>MAX(0,Table1[[#This Row],[Reorder Level]]-Table1[[#This Row],[Quantity]])</f>
        <v>0</v>
      </c>
      <c r="P246">
        <f>MAX(0,Table1[[#This Row],[Quantity]]-Table1[[#This Row],[Reorder Level]])</f>
        <v>113</v>
      </c>
      <c r="Q246">
        <f>Table1[[#This Row],[Above Reorder QTY]]*Table1[[#This Row],[Unit Price (₹)]]</f>
        <v>678000</v>
      </c>
    </row>
    <row r="247" spans="1:17" x14ac:dyDescent="0.25">
      <c r="A247" s="3">
        <v>45901</v>
      </c>
      <c r="B247" t="s">
        <v>40</v>
      </c>
      <c r="C247" t="s">
        <v>31</v>
      </c>
      <c r="D247" t="s">
        <v>41</v>
      </c>
      <c r="E247" t="s">
        <v>20</v>
      </c>
      <c r="F247">
        <v>96</v>
      </c>
      <c r="G247">
        <v>13</v>
      </c>
      <c r="H247" t="s">
        <v>21</v>
      </c>
      <c r="I247">
        <v>1400</v>
      </c>
      <c r="J247">
        <v>19270.55</v>
      </c>
      <c r="K247">
        <v>17</v>
      </c>
      <c r="L247">
        <v>23754.22</v>
      </c>
      <c r="M247" t="s">
        <v>66</v>
      </c>
      <c r="N247">
        <f>Table1[[#This Row],[Quantity]]*Table1[[#This Row],[Unit Price (₹)]]</f>
        <v>134400</v>
      </c>
      <c r="O247">
        <f>MAX(0,Table1[[#This Row],[Reorder Level]]-Table1[[#This Row],[Quantity]])</f>
        <v>0</v>
      </c>
      <c r="P247">
        <f>MAX(0,Table1[[#This Row],[Quantity]]-Table1[[#This Row],[Reorder Level]])</f>
        <v>83</v>
      </c>
      <c r="Q247">
        <f>Table1[[#This Row],[Above Reorder QTY]]*Table1[[#This Row],[Unit Price (₹)]]</f>
        <v>116200</v>
      </c>
    </row>
    <row r="248" spans="1:17" x14ac:dyDescent="0.25">
      <c r="A248" s="3">
        <v>45902</v>
      </c>
      <c r="B248" t="s">
        <v>46</v>
      </c>
      <c r="C248" t="s">
        <v>18</v>
      </c>
      <c r="D248" t="s">
        <v>41</v>
      </c>
      <c r="E248" t="s">
        <v>29</v>
      </c>
      <c r="F248">
        <v>47</v>
      </c>
      <c r="G248">
        <v>16</v>
      </c>
      <c r="H248" t="s">
        <v>21</v>
      </c>
      <c r="I248">
        <v>6000</v>
      </c>
      <c r="J248">
        <v>55737.21</v>
      </c>
      <c r="K248">
        <v>2</v>
      </c>
      <c r="L248">
        <v>12307.74</v>
      </c>
      <c r="M248" t="s">
        <v>66</v>
      </c>
      <c r="N248">
        <f>Table1[[#This Row],[Quantity]]*Table1[[#This Row],[Unit Price (₹)]]</f>
        <v>282000</v>
      </c>
      <c r="O248">
        <f>MAX(0,Table1[[#This Row],[Reorder Level]]-Table1[[#This Row],[Quantity]])</f>
        <v>0</v>
      </c>
      <c r="P248">
        <f>MAX(0,Table1[[#This Row],[Quantity]]-Table1[[#This Row],[Reorder Level]])</f>
        <v>31</v>
      </c>
      <c r="Q248">
        <f>Table1[[#This Row],[Above Reorder QTY]]*Table1[[#This Row],[Unit Price (₹)]]</f>
        <v>186000</v>
      </c>
    </row>
    <row r="249" spans="1:17" x14ac:dyDescent="0.25">
      <c r="A249" s="3">
        <v>45903</v>
      </c>
      <c r="B249" t="s">
        <v>39</v>
      </c>
      <c r="C249" t="s">
        <v>31</v>
      </c>
      <c r="D249" t="s">
        <v>44</v>
      </c>
      <c r="E249" t="s">
        <v>29</v>
      </c>
      <c r="F249">
        <v>176</v>
      </c>
      <c r="G249">
        <v>17</v>
      </c>
      <c r="H249" t="s">
        <v>21</v>
      </c>
      <c r="I249">
        <v>650</v>
      </c>
      <c r="J249">
        <v>16909.82</v>
      </c>
      <c r="K249">
        <v>30</v>
      </c>
      <c r="L249">
        <v>22294.83</v>
      </c>
      <c r="M249" t="s">
        <v>66</v>
      </c>
      <c r="N249">
        <f>Table1[[#This Row],[Quantity]]*Table1[[#This Row],[Unit Price (₹)]]</f>
        <v>114400</v>
      </c>
      <c r="O249">
        <f>MAX(0,Table1[[#This Row],[Reorder Level]]-Table1[[#This Row],[Quantity]])</f>
        <v>0</v>
      </c>
      <c r="P249">
        <f>MAX(0,Table1[[#This Row],[Quantity]]-Table1[[#This Row],[Reorder Level]])</f>
        <v>159</v>
      </c>
      <c r="Q249">
        <f>Table1[[#This Row],[Above Reorder QTY]]*Table1[[#This Row],[Unit Price (₹)]]</f>
        <v>103350</v>
      </c>
    </row>
    <row r="250" spans="1:17" x14ac:dyDescent="0.25">
      <c r="A250" s="3">
        <v>45904</v>
      </c>
      <c r="B250" t="s">
        <v>30</v>
      </c>
      <c r="C250" t="s">
        <v>31</v>
      </c>
      <c r="D250" t="s">
        <v>41</v>
      </c>
      <c r="E250" t="s">
        <v>37</v>
      </c>
      <c r="F250">
        <v>81</v>
      </c>
      <c r="G250">
        <v>25</v>
      </c>
      <c r="H250" t="s">
        <v>21</v>
      </c>
      <c r="I250">
        <v>1100</v>
      </c>
      <c r="J250">
        <v>8166.19</v>
      </c>
      <c r="K250">
        <v>13</v>
      </c>
      <c r="L250">
        <v>15924.06</v>
      </c>
      <c r="M250" t="s">
        <v>66</v>
      </c>
      <c r="N250">
        <f>Table1[[#This Row],[Quantity]]*Table1[[#This Row],[Unit Price (₹)]]</f>
        <v>89100</v>
      </c>
      <c r="O250">
        <f>MAX(0,Table1[[#This Row],[Reorder Level]]-Table1[[#This Row],[Quantity]])</f>
        <v>0</v>
      </c>
      <c r="P250">
        <f>MAX(0,Table1[[#This Row],[Quantity]]-Table1[[#This Row],[Reorder Level]])</f>
        <v>56</v>
      </c>
      <c r="Q250">
        <f>Table1[[#This Row],[Above Reorder QTY]]*Table1[[#This Row],[Unit Price (₹)]]</f>
        <v>61600</v>
      </c>
    </row>
    <row r="251" spans="1:17" x14ac:dyDescent="0.25">
      <c r="A251" s="3">
        <v>45905</v>
      </c>
      <c r="B251" t="s">
        <v>23</v>
      </c>
      <c r="C251" t="s">
        <v>24</v>
      </c>
      <c r="D251" t="s">
        <v>32</v>
      </c>
      <c r="E251" t="s">
        <v>33</v>
      </c>
      <c r="F251">
        <v>129</v>
      </c>
      <c r="G251">
        <v>14</v>
      </c>
      <c r="H251" t="s">
        <v>21</v>
      </c>
      <c r="I251">
        <v>2800</v>
      </c>
      <c r="J251">
        <v>76523.399999999994</v>
      </c>
      <c r="K251">
        <v>23</v>
      </c>
      <c r="L251">
        <v>61854.8</v>
      </c>
      <c r="M251" t="s">
        <v>66</v>
      </c>
      <c r="N251">
        <f>Table1[[#This Row],[Quantity]]*Table1[[#This Row],[Unit Price (₹)]]</f>
        <v>361200</v>
      </c>
      <c r="O251">
        <f>MAX(0,Table1[[#This Row],[Reorder Level]]-Table1[[#This Row],[Quantity]])</f>
        <v>0</v>
      </c>
      <c r="P251">
        <f>MAX(0,Table1[[#This Row],[Quantity]]-Table1[[#This Row],[Reorder Level]])</f>
        <v>115</v>
      </c>
      <c r="Q251">
        <f>Table1[[#This Row],[Above Reorder QTY]]*Table1[[#This Row],[Unit Price (₹)]]</f>
        <v>322000</v>
      </c>
    </row>
    <row r="252" spans="1:17" x14ac:dyDescent="0.25">
      <c r="A252" s="3">
        <v>45906</v>
      </c>
      <c r="B252" t="s">
        <v>34</v>
      </c>
      <c r="C252" t="s">
        <v>18</v>
      </c>
      <c r="D252" t="s">
        <v>19</v>
      </c>
      <c r="E252" t="s">
        <v>45</v>
      </c>
      <c r="F252">
        <v>140</v>
      </c>
      <c r="G252">
        <v>10</v>
      </c>
      <c r="H252" t="s">
        <v>21</v>
      </c>
      <c r="I252">
        <v>8500</v>
      </c>
      <c r="J252">
        <v>21191.53</v>
      </c>
      <c r="K252">
        <v>13</v>
      </c>
      <c r="L252">
        <v>117604.55</v>
      </c>
      <c r="M252" t="s">
        <v>66</v>
      </c>
      <c r="N252">
        <f>Table1[[#This Row],[Quantity]]*Table1[[#This Row],[Unit Price (₹)]]</f>
        <v>1190000</v>
      </c>
      <c r="O252">
        <f>MAX(0,Table1[[#This Row],[Reorder Level]]-Table1[[#This Row],[Quantity]])</f>
        <v>0</v>
      </c>
      <c r="P252">
        <f>MAX(0,Table1[[#This Row],[Quantity]]-Table1[[#This Row],[Reorder Level]])</f>
        <v>130</v>
      </c>
      <c r="Q252">
        <f>Table1[[#This Row],[Above Reorder QTY]]*Table1[[#This Row],[Unit Price (₹)]]</f>
        <v>1105000</v>
      </c>
    </row>
    <row r="253" spans="1:17" x14ac:dyDescent="0.25">
      <c r="A253" s="3">
        <v>45907</v>
      </c>
      <c r="B253" t="s">
        <v>49</v>
      </c>
      <c r="C253" t="s">
        <v>50</v>
      </c>
      <c r="D253" t="s">
        <v>32</v>
      </c>
      <c r="E253" t="s">
        <v>35</v>
      </c>
      <c r="F253">
        <v>114</v>
      </c>
      <c r="G253">
        <v>12</v>
      </c>
      <c r="H253" t="s">
        <v>21</v>
      </c>
      <c r="I253">
        <v>850</v>
      </c>
      <c r="J253">
        <v>27717.919999999998</v>
      </c>
      <c r="K253">
        <v>21</v>
      </c>
      <c r="L253">
        <v>17302.13</v>
      </c>
      <c r="M253" t="s">
        <v>66</v>
      </c>
      <c r="N253">
        <f>Table1[[#This Row],[Quantity]]*Table1[[#This Row],[Unit Price (₹)]]</f>
        <v>96900</v>
      </c>
      <c r="O253">
        <f>MAX(0,Table1[[#This Row],[Reorder Level]]-Table1[[#This Row],[Quantity]])</f>
        <v>0</v>
      </c>
      <c r="P253">
        <f>MAX(0,Table1[[#This Row],[Quantity]]-Table1[[#This Row],[Reorder Level]])</f>
        <v>102</v>
      </c>
      <c r="Q253">
        <f>Table1[[#This Row],[Above Reorder QTY]]*Table1[[#This Row],[Unit Price (₹)]]</f>
        <v>86700</v>
      </c>
    </row>
    <row r="254" spans="1:17" x14ac:dyDescent="0.25">
      <c r="A254" s="3">
        <v>45908</v>
      </c>
      <c r="B254" t="s">
        <v>46</v>
      </c>
      <c r="C254" t="s">
        <v>18</v>
      </c>
      <c r="D254" t="s">
        <v>42</v>
      </c>
      <c r="E254" t="s">
        <v>26</v>
      </c>
      <c r="F254">
        <v>114</v>
      </c>
      <c r="G254">
        <v>32</v>
      </c>
      <c r="H254" t="s">
        <v>21</v>
      </c>
      <c r="I254">
        <v>6000</v>
      </c>
      <c r="J254">
        <v>123317.9</v>
      </c>
      <c r="K254">
        <v>11</v>
      </c>
      <c r="L254">
        <v>74231.759999999995</v>
      </c>
      <c r="M254" t="s">
        <v>66</v>
      </c>
      <c r="N254">
        <f>Table1[[#This Row],[Quantity]]*Table1[[#This Row],[Unit Price (₹)]]</f>
        <v>684000</v>
      </c>
      <c r="O254">
        <f>MAX(0,Table1[[#This Row],[Reorder Level]]-Table1[[#This Row],[Quantity]])</f>
        <v>0</v>
      </c>
      <c r="P254">
        <f>MAX(0,Table1[[#This Row],[Quantity]]-Table1[[#This Row],[Reorder Level]])</f>
        <v>82</v>
      </c>
      <c r="Q254">
        <f>Table1[[#This Row],[Above Reorder QTY]]*Table1[[#This Row],[Unit Price (₹)]]</f>
        <v>492000</v>
      </c>
    </row>
    <row r="255" spans="1:17" x14ac:dyDescent="0.25">
      <c r="A255" s="3">
        <v>45909</v>
      </c>
      <c r="B255" t="s">
        <v>56</v>
      </c>
      <c r="C255" t="s">
        <v>28</v>
      </c>
      <c r="D255" t="s">
        <v>32</v>
      </c>
      <c r="E255" t="s">
        <v>33</v>
      </c>
      <c r="F255">
        <v>69</v>
      </c>
      <c r="G255">
        <v>46</v>
      </c>
      <c r="H255" t="s">
        <v>21</v>
      </c>
      <c r="I255">
        <v>1200</v>
      </c>
      <c r="J255">
        <v>4990.22</v>
      </c>
      <c r="K255">
        <v>12</v>
      </c>
      <c r="L255">
        <v>16366.86</v>
      </c>
      <c r="M255" t="s">
        <v>66</v>
      </c>
      <c r="N255">
        <f>Table1[[#This Row],[Quantity]]*Table1[[#This Row],[Unit Price (₹)]]</f>
        <v>82800</v>
      </c>
      <c r="O255">
        <f>MAX(0,Table1[[#This Row],[Reorder Level]]-Table1[[#This Row],[Quantity]])</f>
        <v>0</v>
      </c>
      <c r="P255">
        <f>MAX(0,Table1[[#This Row],[Quantity]]-Table1[[#This Row],[Reorder Level]])</f>
        <v>23</v>
      </c>
      <c r="Q255">
        <f>Table1[[#This Row],[Above Reorder QTY]]*Table1[[#This Row],[Unit Price (₹)]]</f>
        <v>27600</v>
      </c>
    </row>
    <row r="256" spans="1:17" x14ac:dyDescent="0.25">
      <c r="A256" s="3">
        <v>45910</v>
      </c>
      <c r="B256" t="s">
        <v>38</v>
      </c>
      <c r="C256" t="s">
        <v>18</v>
      </c>
      <c r="D256" t="s">
        <v>42</v>
      </c>
      <c r="E256" t="s">
        <v>37</v>
      </c>
      <c r="F256">
        <v>199</v>
      </c>
      <c r="G256">
        <v>11</v>
      </c>
      <c r="H256" t="s">
        <v>21</v>
      </c>
      <c r="I256">
        <v>4500</v>
      </c>
      <c r="J256">
        <v>186448.97</v>
      </c>
      <c r="K256">
        <v>3</v>
      </c>
      <c r="L256">
        <v>13784.27</v>
      </c>
      <c r="M256" t="s">
        <v>66</v>
      </c>
      <c r="N256">
        <f>Table1[[#This Row],[Quantity]]*Table1[[#This Row],[Unit Price (₹)]]</f>
        <v>895500</v>
      </c>
      <c r="O256">
        <f>MAX(0,Table1[[#This Row],[Reorder Level]]-Table1[[#This Row],[Quantity]])</f>
        <v>0</v>
      </c>
      <c r="P256">
        <f>MAX(0,Table1[[#This Row],[Quantity]]-Table1[[#This Row],[Reorder Level]])</f>
        <v>188</v>
      </c>
      <c r="Q256">
        <f>Table1[[#This Row],[Above Reorder QTY]]*Table1[[#This Row],[Unit Price (₹)]]</f>
        <v>846000</v>
      </c>
    </row>
    <row r="257" spans="1:17" x14ac:dyDescent="0.25">
      <c r="A257" s="3">
        <v>45911</v>
      </c>
      <c r="B257" t="s">
        <v>30</v>
      </c>
      <c r="C257" t="s">
        <v>31</v>
      </c>
      <c r="D257" t="s">
        <v>41</v>
      </c>
      <c r="E257" t="s">
        <v>45</v>
      </c>
      <c r="F257">
        <v>208</v>
      </c>
      <c r="G257">
        <v>42</v>
      </c>
      <c r="H257" t="s">
        <v>21</v>
      </c>
      <c r="I257">
        <v>1100</v>
      </c>
      <c r="J257">
        <v>18449.490000000002</v>
      </c>
      <c r="K257">
        <v>32</v>
      </c>
      <c r="L257">
        <v>37363.65</v>
      </c>
      <c r="M257" t="s">
        <v>66</v>
      </c>
      <c r="N257">
        <f>Table1[[#This Row],[Quantity]]*Table1[[#This Row],[Unit Price (₹)]]</f>
        <v>228800</v>
      </c>
      <c r="O257">
        <f>MAX(0,Table1[[#This Row],[Reorder Level]]-Table1[[#This Row],[Quantity]])</f>
        <v>0</v>
      </c>
      <c r="P257">
        <f>MAX(0,Table1[[#This Row],[Quantity]]-Table1[[#This Row],[Reorder Level]])</f>
        <v>166</v>
      </c>
      <c r="Q257">
        <f>Table1[[#This Row],[Above Reorder QTY]]*Table1[[#This Row],[Unit Price (₹)]]</f>
        <v>182600</v>
      </c>
    </row>
    <row r="258" spans="1:17" x14ac:dyDescent="0.25">
      <c r="A258" s="3">
        <v>45912</v>
      </c>
      <c r="B258" t="s">
        <v>48</v>
      </c>
      <c r="C258" t="s">
        <v>28</v>
      </c>
      <c r="D258" t="s">
        <v>32</v>
      </c>
      <c r="E258" t="s">
        <v>29</v>
      </c>
      <c r="F258">
        <v>134</v>
      </c>
      <c r="G258">
        <v>48</v>
      </c>
      <c r="H258" t="s">
        <v>21</v>
      </c>
      <c r="I258">
        <v>45</v>
      </c>
      <c r="J258">
        <v>378.52</v>
      </c>
      <c r="K258">
        <v>10</v>
      </c>
      <c r="L258">
        <v>442.78</v>
      </c>
      <c r="M258" t="s">
        <v>66</v>
      </c>
      <c r="N258">
        <f>Table1[[#This Row],[Quantity]]*Table1[[#This Row],[Unit Price (₹)]]</f>
        <v>6030</v>
      </c>
      <c r="O258">
        <f>MAX(0,Table1[[#This Row],[Reorder Level]]-Table1[[#This Row],[Quantity]])</f>
        <v>0</v>
      </c>
      <c r="P258">
        <f>MAX(0,Table1[[#This Row],[Quantity]]-Table1[[#This Row],[Reorder Level]])</f>
        <v>86</v>
      </c>
      <c r="Q258">
        <f>Table1[[#This Row],[Above Reorder QTY]]*Table1[[#This Row],[Unit Price (₹)]]</f>
        <v>3870</v>
      </c>
    </row>
    <row r="259" spans="1:17" x14ac:dyDescent="0.25">
      <c r="A259" s="3">
        <v>45913</v>
      </c>
      <c r="B259" t="s">
        <v>39</v>
      </c>
      <c r="C259" t="s">
        <v>31</v>
      </c>
      <c r="D259" t="s">
        <v>44</v>
      </c>
      <c r="E259" t="s">
        <v>35</v>
      </c>
      <c r="F259">
        <v>131</v>
      </c>
      <c r="G259">
        <v>34</v>
      </c>
      <c r="H259" t="s">
        <v>21</v>
      </c>
      <c r="I259">
        <v>650</v>
      </c>
      <c r="J259">
        <v>15640.63</v>
      </c>
      <c r="K259">
        <v>17</v>
      </c>
      <c r="L259">
        <v>11979.7</v>
      </c>
      <c r="M259" t="s">
        <v>66</v>
      </c>
      <c r="N259">
        <f>Table1[[#This Row],[Quantity]]*Table1[[#This Row],[Unit Price (₹)]]</f>
        <v>85150</v>
      </c>
      <c r="O259">
        <f>MAX(0,Table1[[#This Row],[Reorder Level]]-Table1[[#This Row],[Quantity]])</f>
        <v>0</v>
      </c>
      <c r="P259">
        <f>MAX(0,Table1[[#This Row],[Quantity]]-Table1[[#This Row],[Reorder Level]])</f>
        <v>97</v>
      </c>
      <c r="Q259">
        <f>Table1[[#This Row],[Above Reorder QTY]]*Table1[[#This Row],[Unit Price (₹)]]</f>
        <v>63050</v>
      </c>
    </row>
    <row r="260" spans="1:17" x14ac:dyDescent="0.25">
      <c r="A260" s="3">
        <v>45914</v>
      </c>
      <c r="B260" t="s">
        <v>56</v>
      </c>
      <c r="C260" t="s">
        <v>28</v>
      </c>
      <c r="D260" t="s">
        <v>32</v>
      </c>
      <c r="E260" t="s">
        <v>26</v>
      </c>
      <c r="F260">
        <v>30</v>
      </c>
      <c r="G260">
        <v>49</v>
      </c>
      <c r="H260" t="s">
        <v>47</v>
      </c>
      <c r="I260">
        <v>1200</v>
      </c>
      <c r="J260">
        <v>4738.58</v>
      </c>
      <c r="K260">
        <v>1</v>
      </c>
      <c r="L260">
        <v>1215.5999999999999</v>
      </c>
      <c r="M260" t="s">
        <v>66</v>
      </c>
      <c r="N260">
        <f>Table1[[#This Row],[Quantity]]*Table1[[#This Row],[Unit Price (₹)]]</f>
        <v>36000</v>
      </c>
      <c r="O260">
        <f>MAX(0,Table1[[#This Row],[Reorder Level]]-Table1[[#This Row],[Quantity]])</f>
        <v>19</v>
      </c>
      <c r="P260">
        <f>MAX(0,Table1[[#This Row],[Quantity]]-Table1[[#This Row],[Reorder Level]])</f>
        <v>0</v>
      </c>
      <c r="Q260">
        <f>Table1[[#This Row],[Above Reorder QTY]]*Table1[[#This Row],[Unit Price (₹)]]</f>
        <v>0</v>
      </c>
    </row>
    <row r="261" spans="1:17" x14ac:dyDescent="0.25">
      <c r="A261" s="3">
        <v>45915</v>
      </c>
      <c r="B261" t="s">
        <v>40</v>
      </c>
      <c r="C261" t="s">
        <v>31</v>
      </c>
      <c r="D261" t="s">
        <v>19</v>
      </c>
      <c r="E261" t="s">
        <v>29</v>
      </c>
      <c r="F261">
        <v>12</v>
      </c>
      <c r="G261">
        <v>37</v>
      </c>
      <c r="H261" t="s">
        <v>47</v>
      </c>
      <c r="I261">
        <v>1400</v>
      </c>
      <c r="J261">
        <v>2407.62</v>
      </c>
      <c r="K261">
        <v>3</v>
      </c>
      <c r="L261">
        <v>4038.5</v>
      </c>
      <c r="M261" t="s">
        <v>66</v>
      </c>
      <c r="N261">
        <f>Table1[[#This Row],[Quantity]]*Table1[[#This Row],[Unit Price (₹)]]</f>
        <v>16800</v>
      </c>
      <c r="O261">
        <f>MAX(0,Table1[[#This Row],[Reorder Level]]-Table1[[#This Row],[Quantity]])</f>
        <v>25</v>
      </c>
      <c r="P261">
        <f>MAX(0,Table1[[#This Row],[Quantity]]-Table1[[#This Row],[Reorder Level]])</f>
        <v>0</v>
      </c>
      <c r="Q261">
        <f>Table1[[#This Row],[Above Reorder QTY]]*Table1[[#This Row],[Unit Price (₹)]]</f>
        <v>0</v>
      </c>
    </row>
    <row r="262" spans="1:17" x14ac:dyDescent="0.25">
      <c r="A262" s="3">
        <v>45916</v>
      </c>
      <c r="B262" t="s">
        <v>57</v>
      </c>
      <c r="C262" t="s">
        <v>24</v>
      </c>
      <c r="D262" t="s">
        <v>44</v>
      </c>
      <c r="E262" t="s">
        <v>20</v>
      </c>
      <c r="F262">
        <v>230</v>
      </c>
      <c r="G262">
        <v>28</v>
      </c>
      <c r="H262" t="s">
        <v>21</v>
      </c>
      <c r="I262">
        <v>1200</v>
      </c>
      <c r="J262">
        <v>42898.5</v>
      </c>
      <c r="K262">
        <v>8</v>
      </c>
      <c r="L262">
        <v>10703.28</v>
      </c>
      <c r="M262" t="s">
        <v>66</v>
      </c>
      <c r="N262">
        <f>Table1[[#This Row],[Quantity]]*Table1[[#This Row],[Unit Price (₹)]]</f>
        <v>276000</v>
      </c>
      <c r="O262">
        <f>MAX(0,Table1[[#This Row],[Reorder Level]]-Table1[[#This Row],[Quantity]])</f>
        <v>0</v>
      </c>
      <c r="P262">
        <f>MAX(0,Table1[[#This Row],[Quantity]]-Table1[[#This Row],[Reorder Level]])</f>
        <v>202</v>
      </c>
      <c r="Q262">
        <f>Table1[[#This Row],[Above Reorder QTY]]*Table1[[#This Row],[Unit Price (₹)]]</f>
        <v>242400</v>
      </c>
    </row>
    <row r="263" spans="1:17" x14ac:dyDescent="0.25">
      <c r="A263" s="3">
        <v>45917</v>
      </c>
      <c r="B263" t="s">
        <v>57</v>
      </c>
      <c r="C263" t="s">
        <v>24</v>
      </c>
      <c r="D263" t="s">
        <v>32</v>
      </c>
      <c r="E263" t="s">
        <v>37</v>
      </c>
      <c r="F263">
        <v>154</v>
      </c>
      <c r="G263">
        <v>34</v>
      </c>
      <c r="H263" t="s">
        <v>21</v>
      </c>
      <c r="I263">
        <v>1200</v>
      </c>
      <c r="J263">
        <v>27464.799999999999</v>
      </c>
      <c r="K263">
        <v>31</v>
      </c>
      <c r="L263">
        <v>36461.019999999997</v>
      </c>
      <c r="M263" t="s">
        <v>66</v>
      </c>
      <c r="N263">
        <f>Table1[[#This Row],[Quantity]]*Table1[[#This Row],[Unit Price (₹)]]</f>
        <v>184800</v>
      </c>
      <c r="O263">
        <f>MAX(0,Table1[[#This Row],[Reorder Level]]-Table1[[#This Row],[Quantity]])</f>
        <v>0</v>
      </c>
      <c r="P263">
        <f>MAX(0,Table1[[#This Row],[Quantity]]-Table1[[#This Row],[Reorder Level]])</f>
        <v>120</v>
      </c>
      <c r="Q263">
        <f>Table1[[#This Row],[Above Reorder QTY]]*Table1[[#This Row],[Unit Price (₹)]]</f>
        <v>144000</v>
      </c>
    </row>
    <row r="264" spans="1:17" x14ac:dyDescent="0.25">
      <c r="A264" s="3">
        <v>45918</v>
      </c>
      <c r="B264" t="s">
        <v>17</v>
      </c>
      <c r="C264" t="s">
        <v>18</v>
      </c>
      <c r="D264" t="s">
        <v>19</v>
      </c>
      <c r="E264" t="s">
        <v>33</v>
      </c>
      <c r="F264">
        <v>8</v>
      </c>
      <c r="G264">
        <v>40</v>
      </c>
      <c r="H264" t="s">
        <v>47</v>
      </c>
      <c r="I264">
        <v>250</v>
      </c>
      <c r="J264">
        <v>453.06</v>
      </c>
      <c r="K264">
        <v>2</v>
      </c>
      <c r="L264">
        <v>505.36</v>
      </c>
      <c r="M264" t="s">
        <v>66</v>
      </c>
      <c r="N264">
        <f>Table1[[#This Row],[Quantity]]*Table1[[#This Row],[Unit Price (₹)]]</f>
        <v>2000</v>
      </c>
      <c r="O264">
        <f>MAX(0,Table1[[#This Row],[Reorder Level]]-Table1[[#This Row],[Quantity]])</f>
        <v>32</v>
      </c>
      <c r="P264">
        <f>MAX(0,Table1[[#This Row],[Quantity]]-Table1[[#This Row],[Reorder Level]])</f>
        <v>0</v>
      </c>
      <c r="Q264">
        <f>Table1[[#This Row],[Above Reorder QTY]]*Table1[[#This Row],[Unit Price (₹)]]</f>
        <v>0</v>
      </c>
    </row>
    <row r="265" spans="1:17" x14ac:dyDescent="0.25">
      <c r="A265" s="3">
        <v>45919</v>
      </c>
      <c r="B265" t="s">
        <v>38</v>
      </c>
      <c r="C265" t="s">
        <v>18</v>
      </c>
      <c r="D265" t="s">
        <v>19</v>
      </c>
      <c r="E265" t="s">
        <v>20</v>
      </c>
      <c r="F265">
        <v>84</v>
      </c>
      <c r="G265">
        <v>50</v>
      </c>
      <c r="H265" t="s">
        <v>21</v>
      </c>
      <c r="I265">
        <v>4500</v>
      </c>
      <c r="J265">
        <v>33492.78</v>
      </c>
      <c r="K265">
        <v>18</v>
      </c>
      <c r="L265">
        <v>80246.25</v>
      </c>
      <c r="M265" t="s">
        <v>66</v>
      </c>
      <c r="N265">
        <f>Table1[[#This Row],[Quantity]]*Table1[[#This Row],[Unit Price (₹)]]</f>
        <v>378000</v>
      </c>
      <c r="O265">
        <f>MAX(0,Table1[[#This Row],[Reorder Level]]-Table1[[#This Row],[Quantity]])</f>
        <v>0</v>
      </c>
      <c r="P265">
        <f>MAX(0,Table1[[#This Row],[Quantity]]-Table1[[#This Row],[Reorder Level]])</f>
        <v>34</v>
      </c>
      <c r="Q265">
        <f>Table1[[#This Row],[Above Reorder QTY]]*Table1[[#This Row],[Unit Price (₹)]]</f>
        <v>153000</v>
      </c>
    </row>
    <row r="266" spans="1:17" x14ac:dyDescent="0.25">
      <c r="A266" s="3">
        <v>45920</v>
      </c>
      <c r="B266" t="s">
        <v>27</v>
      </c>
      <c r="C266" t="s">
        <v>28</v>
      </c>
      <c r="D266" t="s">
        <v>44</v>
      </c>
      <c r="E266" t="s">
        <v>45</v>
      </c>
      <c r="F266">
        <v>80</v>
      </c>
      <c r="G266">
        <v>33</v>
      </c>
      <c r="H266" t="s">
        <v>21</v>
      </c>
      <c r="I266">
        <v>18</v>
      </c>
      <c r="J266">
        <v>133.33000000000001</v>
      </c>
      <c r="K266">
        <v>15</v>
      </c>
      <c r="L266">
        <v>303.51</v>
      </c>
      <c r="M266" t="s">
        <v>66</v>
      </c>
      <c r="N266">
        <f>Table1[[#This Row],[Quantity]]*Table1[[#This Row],[Unit Price (₹)]]</f>
        <v>1440</v>
      </c>
      <c r="O266">
        <f>MAX(0,Table1[[#This Row],[Reorder Level]]-Table1[[#This Row],[Quantity]])</f>
        <v>0</v>
      </c>
      <c r="P266">
        <f>MAX(0,Table1[[#This Row],[Quantity]]-Table1[[#This Row],[Reorder Level]])</f>
        <v>47</v>
      </c>
      <c r="Q266">
        <f>Table1[[#This Row],[Above Reorder QTY]]*Table1[[#This Row],[Unit Price (₹)]]</f>
        <v>846</v>
      </c>
    </row>
    <row r="267" spans="1:17" x14ac:dyDescent="0.25">
      <c r="A267" s="3">
        <v>45921</v>
      </c>
      <c r="B267" t="s">
        <v>43</v>
      </c>
      <c r="C267" t="s">
        <v>24</v>
      </c>
      <c r="D267" t="s">
        <v>42</v>
      </c>
      <c r="E267" t="s">
        <v>29</v>
      </c>
      <c r="F267">
        <v>37</v>
      </c>
      <c r="G267">
        <v>26</v>
      </c>
      <c r="H267" t="s">
        <v>21</v>
      </c>
      <c r="I267">
        <v>2200</v>
      </c>
      <c r="J267">
        <v>11666.22</v>
      </c>
      <c r="K267">
        <v>9</v>
      </c>
      <c r="L267">
        <v>20640.689999999999</v>
      </c>
      <c r="M267" t="s">
        <v>66</v>
      </c>
      <c r="N267">
        <f>Table1[[#This Row],[Quantity]]*Table1[[#This Row],[Unit Price (₹)]]</f>
        <v>81400</v>
      </c>
      <c r="O267">
        <f>MAX(0,Table1[[#This Row],[Reorder Level]]-Table1[[#This Row],[Quantity]])</f>
        <v>0</v>
      </c>
      <c r="P267">
        <f>MAX(0,Table1[[#This Row],[Quantity]]-Table1[[#This Row],[Reorder Level]])</f>
        <v>11</v>
      </c>
      <c r="Q267">
        <f>Table1[[#This Row],[Above Reorder QTY]]*Table1[[#This Row],[Unit Price (₹)]]</f>
        <v>24200</v>
      </c>
    </row>
    <row r="268" spans="1:17" x14ac:dyDescent="0.25">
      <c r="A268" s="3">
        <v>45922</v>
      </c>
      <c r="B268" t="s">
        <v>23</v>
      </c>
      <c r="C268" t="s">
        <v>24</v>
      </c>
      <c r="D268" t="s">
        <v>19</v>
      </c>
      <c r="E268" t="s">
        <v>45</v>
      </c>
      <c r="F268">
        <v>62</v>
      </c>
      <c r="G268">
        <v>39</v>
      </c>
      <c r="H268" t="s">
        <v>21</v>
      </c>
      <c r="I268">
        <v>2800</v>
      </c>
      <c r="J268">
        <v>21115.759999999998</v>
      </c>
      <c r="K268">
        <v>10</v>
      </c>
      <c r="L268">
        <v>28106.51</v>
      </c>
      <c r="M268" t="s">
        <v>66</v>
      </c>
      <c r="N268">
        <f>Table1[[#This Row],[Quantity]]*Table1[[#This Row],[Unit Price (₹)]]</f>
        <v>173600</v>
      </c>
      <c r="O268">
        <f>MAX(0,Table1[[#This Row],[Reorder Level]]-Table1[[#This Row],[Quantity]])</f>
        <v>0</v>
      </c>
      <c r="P268">
        <f>MAX(0,Table1[[#This Row],[Quantity]]-Table1[[#This Row],[Reorder Level]])</f>
        <v>23</v>
      </c>
      <c r="Q268">
        <f>Table1[[#This Row],[Above Reorder QTY]]*Table1[[#This Row],[Unit Price (₹)]]</f>
        <v>64400</v>
      </c>
    </row>
    <row r="269" spans="1:17" x14ac:dyDescent="0.25">
      <c r="A269" s="3">
        <v>45923</v>
      </c>
      <c r="B269" t="s">
        <v>38</v>
      </c>
      <c r="C269" t="s">
        <v>18</v>
      </c>
      <c r="D269" t="s">
        <v>32</v>
      </c>
      <c r="E269" t="s">
        <v>45</v>
      </c>
      <c r="F269">
        <v>179</v>
      </c>
      <c r="G269">
        <v>49</v>
      </c>
      <c r="H269" t="s">
        <v>21</v>
      </c>
      <c r="I269">
        <v>4500</v>
      </c>
      <c r="J269">
        <v>83905.8</v>
      </c>
      <c r="K269">
        <v>12</v>
      </c>
      <c r="L269">
        <v>58344.02</v>
      </c>
      <c r="M269" t="s">
        <v>66</v>
      </c>
      <c r="N269">
        <f>Table1[[#This Row],[Quantity]]*Table1[[#This Row],[Unit Price (₹)]]</f>
        <v>805500</v>
      </c>
      <c r="O269">
        <f>MAX(0,Table1[[#This Row],[Reorder Level]]-Table1[[#This Row],[Quantity]])</f>
        <v>0</v>
      </c>
      <c r="P269">
        <f>MAX(0,Table1[[#This Row],[Quantity]]-Table1[[#This Row],[Reorder Level]])</f>
        <v>130</v>
      </c>
      <c r="Q269">
        <f>Table1[[#This Row],[Above Reorder QTY]]*Table1[[#This Row],[Unit Price (₹)]]</f>
        <v>585000</v>
      </c>
    </row>
    <row r="270" spans="1:17" x14ac:dyDescent="0.25">
      <c r="A270" s="3">
        <v>45924</v>
      </c>
      <c r="B270" t="s">
        <v>40</v>
      </c>
      <c r="C270" t="s">
        <v>31</v>
      </c>
      <c r="D270" t="s">
        <v>19</v>
      </c>
      <c r="E270" t="s">
        <v>26</v>
      </c>
      <c r="F270">
        <v>105</v>
      </c>
      <c r="G270">
        <v>17</v>
      </c>
      <c r="H270" t="s">
        <v>21</v>
      </c>
      <c r="I270">
        <v>1400</v>
      </c>
      <c r="J270">
        <v>25281.360000000001</v>
      </c>
      <c r="K270">
        <v>3</v>
      </c>
      <c r="L270">
        <v>4793.46</v>
      </c>
      <c r="M270" t="s">
        <v>66</v>
      </c>
      <c r="N270">
        <f>Table1[[#This Row],[Quantity]]*Table1[[#This Row],[Unit Price (₹)]]</f>
        <v>147000</v>
      </c>
      <c r="O270">
        <f>MAX(0,Table1[[#This Row],[Reorder Level]]-Table1[[#This Row],[Quantity]])</f>
        <v>0</v>
      </c>
      <c r="P270">
        <f>MAX(0,Table1[[#This Row],[Quantity]]-Table1[[#This Row],[Reorder Level]])</f>
        <v>88</v>
      </c>
      <c r="Q270">
        <f>Table1[[#This Row],[Above Reorder QTY]]*Table1[[#This Row],[Unit Price (₹)]]</f>
        <v>123200</v>
      </c>
    </row>
    <row r="271" spans="1:17" x14ac:dyDescent="0.25">
      <c r="A271" s="3">
        <v>45925</v>
      </c>
      <c r="B271" t="s">
        <v>46</v>
      </c>
      <c r="C271" t="s">
        <v>18</v>
      </c>
      <c r="D271" t="s">
        <v>25</v>
      </c>
      <c r="E271" t="s">
        <v>26</v>
      </c>
      <c r="F271">
        <v>149</v>
      </c>
      <c r="G271">
        <v>10</v>
      </c>
      <c r="H271" t="s">
        <v>21</v>
      </c>
      <c r="I271">
        <v>6000</v>
      </c>
      <c r="J271">
        <v>221806.3</v>
      </c>
      <c r="K271">
        <v>13</v>
      </c>
      <c r="L271">
        <v>87976.5</v>
      </c>
      <c r="M271" t="s">
        <v>66</v>
      </c>
      <c r="N271">
        <f>Table1[[#This Row],[Quantity]]*Table1[[#This Row],[Unit Price (₹)]]</f>
        <v>894000</v>
      </c>
      <c r="O271">
        <f>MAX(0,Table1[[#This Row],[Reorder Level]]-Table1[[#This Row],[Quantity]])</f>
        <v>0</v>
      </c>
      <c r="P271">
        <f>MAX(0,Table1[[#This Row],[Quantity]]-Table1[[#This Row],[Reorder Level]])</f>
        <v>139</v>
      </c>
      <c r="Q271">
        <f>Table1[[#This Row],[Above Reorder QTY]]*Table1[[#This Row],[Unit Price (₹)]]</f>
        <v>834000</v>
      </c>
    </row>
    <row r="272" spans="1:17" x14ac:dyDescent="0.25">
      <c r="A272" s="3">
        <v>45926</v>
      </c>
      <c r="B272" t="s">
        <v>40</v>
      </c>
      <c r="C272" t="s">
        <v>31</v>
      </c>
      <c r="D272" t="s">
        <v>41</v>
      </c>
      <c r="E272" t="s">
        <v>45</v>
      </c>
      <c r="F272">
        <v>84</v>
      </c>
      <c r="G272">
        <v>42</v>
      </c>
      <c r="H272" t="s">
        <v>21</v>
      </c>
      <c r="I272">
        <v>1400</v>
      </c>
      <c r="J272">
        <v>2478.65</v>
      </c>
      <c r="K272">
        <v>16</v>
      </c>
      <c r="L272">
        <v>25346.720000000001</v>
      </c>
      <c r="M272" t="s">
        <v>66</v>
      </c>
      <c r="N272">
        <f>Table1[[#This Row],[Quantity]]*Table1[[#This Row],[Unit Price (₹)]]</f>
        <v>117600</v>
      </c>
      <c r="O272">
        <f>MAX(0,Table1[[#This Row],[Reorder Level]]-Table1[[#This Row],[Quantity]])</f>
        <v>0</v>
      </c>
      <c r="P272">
        <f>MAX(0,Table1[[#This Row],[Quantity]]-Table1[[#This Row],[Reorder Level]])</f>
        <v>42</v>
      </c>
      <c r="Q272">
        <f>Table1[[#This Row],[Above Reorder QTY]]*Table1[[#This Row],[Unit Price (₹)]]</f>
        <v>58800</v>
      </c>
    </row>
    <row r="273" spans="1:17" x14ac:dyDescent="0.25">
      <c r="A273" s="3">
        <v>45927</v>
      </c>
      <c r="B273" t="s">
        <v>49</v>
      </c>
      <c r="C273" t="s">
        <v>50</v>
      </c>
      <c r="D273" t="s">
        <v>41</v>
      </c>
      <c r="E273" t="s">
        <v>37</v>
      </c>
      <c r="F273">
        <v>225</v>
      </c>
      <c r="G273">
        <v>12</v>
      </c>
      <c r="H273" t="s">
        <v>21</v>
      </c>
      <c r="I273">
        <v>850</v>
      </c>
      <c r="J273">
        <v>50336.66</v>
      </c>
      <c r="K273">
        <v>28</v>
      </c>
      <c r="L273">
        <v>23555.06</v>
      </c>
      <c r="M273" t="s">
        <v>66</v>
      </c>
      <c r="N273">
        <f>Table1[[#This Row],[Quantity]]*Table1[[#This Row],[Unit Price (₹)]]</f>
        <v>191250</v>
      </c>
      <c r="O273">
        <f>MAX(0,Table1[[#This Row],[Reorder Level]]-Table1[[#This Row],[Quantity]])</f>
        <v>0</v>
      </c>
      <c r="P273">
        <f>MAX(0,Table1[[#This Row],[Quantity]]-Table1[[#This Row],[Reorder Level]])</f>
        <v>213</v>
      </c>
      <c r="Q273">
        <f>Table1[[#This Row],[Above Reorder QTY]]*Table1[[#This Row],[Unit Price (₹)]]</f>
        <v>181050</v>
      </c>
    </row>
    <row r="274" spans="1:17" x14ac:dyDescent="0.25">
      <c r="A274" s="3">
        <v>45928</v>
      </c>
      <c r="B274" t="s">
        <v>49</v>
      </c>
      <c r="C274" t="s">
        <v>50</v>
      </c>
      <c r="D274" t="s">
        <v>42</v>
      </c>
      <c r="E274" t="s">
        <v>37</v>
      </c>
      <c r="F274">
        <v>45</v>
      </c>
      <c r="G274">
        <v>26</v>
      </c>
      <c r="H274" t="s">
        <v>21</v>
      </c>
      <c r="I274">
        <v>850</v>
      </c>
      <c r="J274">
        <v>787.53</v>
      </c>
      <c r="K274">
        <v>1</v>
      </c>
      <c r="L274">
        <v>821.53</v>
      </c>
      <c r="M274" t="s">
        <v>66</v>
      </c>
      <c r="N274">
        <f>Table1[[#This Row],[Quantity]]*Table1[[#This Row],[Unit Price (₹)]]</f>
        <v>38250</v>
      </c>
      <c r="O274">
        <f>MAX(0,Table1[[#This Row],[Reorder Level]]-Table1[[#This Row],[Quantity]])</f>
        <v>0</v>
      </c>
      <c r="P274">
        <f>MAX(0,Table1[[#This Row],[Quantity]]-Table1[[#This Row],[Reorder Level]])</f>
        <v>19</v>
      </c>
      <c r="Q274">
        <f>Table1[[#This Row],[Above Reorder QTY]]*Table1[[#This Row],[Unit Price (₹)]]</f>
        <v>16150</v>
      </c>
    </row>
    <row r="275" spans="1:17" x14ac:dyDescent="0.25">
      <c r="A275" s="3">
        <v>45929</v>
      </c>
      <c r="B275" t="s">
        <v>49</v>
      </c>
      <c r="C275" t="s">
        <v>50</v>
      </c>
      <c r="D275" t="s">
        <v>32</v>
      </c>
      <c r="E275" t="s">
        <v>26</v>
      </c>
      <c r="F275">
        <v>17</v>
      </c>
      <c r="G275">
        <v>21</v>
      </c>
      <c r="H275" t="s">
        <v>47</v>
      </c>
      <c r="I275">
        <v>850</v>
      </c>
      <c r="J275">
        <v>2160.1</v>
      </c>
      <c r="K275">
        <v>1</v>
      </c>
      <c r="L275">
        <v>888.76</v>
      </c>
      <c r="M275" t="s">
        <v>66</v>
      </c>
      <c r="N275">
        <f>Table1[[#This Row],[Quantity]]*Table1[[#This Row],[Unit Price (₹)]]</f>
        <v>14450</v>
      </c>
      <c r="O275">
        <f>MAX(0,Table1[[#This Row],[Reorder Level]]-Table1[[#This Row],[Quantity]])</f>
        <v>4</v>
      </c>
      <c r="P275">
        <f>MAX(0,Table1[[#This Row],[Quantity]]-Table1[[#This Row],[Reorder Level]])</f>
        <v>0</v>
      </c>
      <c r="Q275">
        <f>Table1[[#This Row],[Above Reorder QTY]]*Table1[[#This Row],[Unit Price (₹)]]</f>
        <v>0</v>
      </c>
    </row>
    <row r="276" spans="1:17" x14ac:dyDescent="0.25">
      <c r="A276" s="3">
        <v>45930</v>
      </c>
      <c r="B276" t="s">
        <v>51</v>
      </c>
      <c r="C276" t="s">
        <v>18</v>
      </c>
      <c r="D276" t="s">
        <v>32</v>
      </c>
      <c r="E276" t="s">
        <v>33</v>
      </c>
      <c r="F276">
        <v>208</v>
      </c>
      <c r="G276">
        <v>25</v>
      </c>
      <c r="H276" t="s">
        <v>21</v>
      </c>
      <c r="I276">
        <v>450</v>
      </c>
      <c r="J276">
        <v>18820.88</v>
      </c>
      <c r="K276">
        <v>13</v>
      </c>
      <c r="L276">
        <v>5927.47</v>
      </c>
      <c r="M276" t="s">
        <v>66</v>
      </c>
      <c r="N276">
        <f>Table1[[#This Row],[Quantity]]*Table1[[#This Row],[Unit Price (₹)]]</f>
        <v>93600</v>
      </c>
      <c r="O276">
        <f>MAX(0,Table1[[#This Row],[Reorder Level]]-Table1[[#This Row],[Quantity]])</f>
        <v>0</v>
      </c>
      <c r="P276">
        <f>MAX(0,Table1[[#This Row],[Quantity]]-Table1[[#This Row],[Reorder Level]])</f>
        <v>183</v>
      </c>
      <c r="Q276">
        <f>Table1[[#This Row],[Above Reorder QTY]]*Table1[[#This Row],[Unit Price (₹)]]</f>
        <v>82350</v>
      </c>
    </row>
    <row r="277" spans="1:17" x14ac:dyDescent="0.25">
      <c r="A277" s="3">
        <v>45931</v>
      </c>
      <c r="B277" t="s">
        <v>39</v>
      </c>
      <c r="C277" t="s">
        <v>31</v>
      </c>
      <c r="D277" t="s">
        <v>32</v>
      </c>
      <c r="E277" t="s">
        <v>35</v>
      </c>
      <c r="F277">
        <v>76</v>
      </c>
      <c r="G277">
        <v>39</v>
      </c>
      <c r="H277" t="s">
        <v>21</v>
      </c>
      <c r="I277">
        <v>650</v>
      </c>
      <c r="J277">
        <v>12163.44</v>
      </c>
      <c r="K277">
        <v>16</v>
      </c>
      <c r="L277">
        <v>11803.25</v>
      </c>
      <c r="M277" t="s">
        <v>67</v>
      </c>
      <c r="N277">
        <f>Table1[[#This Row],[Quantity]]*Table1[[#This Row],[Unit Price (₹)]]</f>
        <v>49400</v>
      </c>
      <c r="O277">
        <f>MAX(0,Table1[[#This Row],[Reorder Level]]-Table1[[#This Row],[Quantity]])</f>
        <v>0</v>
      </c>
      <c r="P277">
        <f>MAX(0,Table1[[#This Row],[Quantity]]-Table1[[#This Row],[Reorder Level]])</f>
        <v>37</v>
      </c>
      <c r="Q277">
        <f>Table1[[#This Row],[Above Reorder QTY]]*Table1[[#This Row],[Unit Price (₹)]]</f>
        <v>24050</v>
      </c>
    </row>
    <row r="278" spans="1:17" x14ac:dyDescent="0.25">
      <c r="A278" s="3">
        <v>45932</v>
      </c>
      <c r="B278" t="s">
        <v>54</v>
      </c>
      <c r="C278" t="s">
        <v>50</v>
      </c>
      <c r="D278" t="s">
        <v>32</v>
      </c>
      <c r="E278" t="s">
        <v>33</v>
      </c>
      <c r="F278">
        <v>145</v>
      </c>
      <c r="G278">
        <v>30</v>
      </c>
      <c r="H278" t="s">
        <v>21</v>
      </c>
      <c r="I278">
        <v>1500</v>
      </c>
      <c r="J278">
        <v>6947.07</v>
      </c>
      <c r="K278">
        <v>19</v>
      </c>
      <c r="L278">
        <v>32580.27</v>
      </c>
      <c r="M278" t="s">
        <v>67</v>
      </c>
      <c r="N278">
        <f>Table1[[#This Row],[Quantity]]*Table1[[#This Row],[Unit Price (₹)]]</f>
        <v>217500</v>
      </c>
      <c r="O278">
        <f>MAX(0,Table1[[#This Row],[Reorder Level]]-Table1[[#This Row],[Quantity]])</f>
        <v>0</v>
      </c>
      <c r="P278">
        <f>MAX(0,Table1[[#This Row],[Quantity]]-Table1[[#This Row],[Reorder Level]])</f>
        <v>115</v>
      </c>
      <c r="Q278">
        <f>Table1[[#This Row],[Above Reorder QTY]]*Table1[[#This Row],[Unit Price (₹)]]</f>
        <v>172500</v>
      </c>
    </row>
    <row r="279" spans="1:17" x14ac:dyDescent="0.25">
      <c r="A279" s="3">
        <v>45933</v>
      </c>
      <c r="B279" t="s">
        <v>46</v>
      </c>
      <c r="C279" t="s">
        <v>18</v>
      </c>
      <c r="D279" t="s">
        <v>41</v>
      </c>
      <c r="E279" t="s">
        <v>33</v>
      </c>
      <c r="F279">
        <v>39</v>
      </c>
      <c r="G279">
        <v>25</v>
      </c>
      <c r="H279" t="s">
        <v>21</v>
      </c>
      <c r="I279">
        <v>6000</v>
      </c>
      <c r="J279">
        <v>48014.61</v>
      </c>
      <c r="K279">
        <v>6</v>
      </c>
      <c r="L279">
        <v>37497.760000000002</v>
      </c>
      <c r="M279" t="s">
        <v>67</v>
      </c>
      <c r="N279">
        <f>Table1[[#This Row],[Quantity]]*Table1[[#This Row],[Unit Price (₹)]]</f>
        <v>234000</v>
      </c>
      <c r="O279">
        <f>MAX(0,Table1[[#This Row],[Reorder Level]]-Table1[[#This Row],[Quantity]])</f>
        <v>0</v>
      </c>
      <c r="P279">
        <f>MAX(0,Table1[[#This Row],[Quantity]]-Table1[[#This Row],[Reorder Level]])</f>
        <v>14</v>
      </c>
      <c r="Q279">
        <f>Table1[[#This Row],[Above Reorder QTY]]*Table1[[#This Row],[Unit Price (₹)]]</f>
        <v>84000</v>
      </c>
    </row>
    <row r="280" spans="1:17" x14ac:dyDescent="0.25">
      <c r="A280" s="3">
        <v>45934</v>
      </c>
      <c r="B280" t="s">
        <v>46</v>
      </c>
      <c r="C280" t="s">
        <v>18</v>
      </c>
      <c r="D280" t="s">
        <v>32</v>
      </c>
      <c r="E280" t="s">
        <v>33</v>
      </c>
      <c r="F280">
        <v>181</v>
      </c>
      <c r="G280">
        <v>15</v>
      </c>
      <c r="H280" t="s">
        <v>21</v>
      </c>
      <c r="I280">
        <v>6000</v>
      </c>
      <c r="J280">
        <v>133174.07999999999</v>
      </c>
      <c r="K280">
        <v>39</v>
      </c>
      <c r="L280">
        <v>227570.11</v>
      </c>
      <c r="M280" t="s">
        <v>67</v>
      </c>
      <c r="N280">
        <f>Table1[[#This Row],[Quantity]]*Table1[[#This Row],[Unit Price (₹)]]</f>
        <v>1086000</v>
      </c>
      <c r="O280">
        <f>MAX(0,Table1[[#This Row],[Reorder Level]]-Table1[[#This Row],[Quantity]])</f>
        <v>0</v>
      </c>
      <c r="P280">
        <f>MAX(0,Table1[[#This Row],[Quantity]]-Table1[[#This Row],[Reorder Level]])</f>
        <v>166</v>
      </c>
      <c r="Q280">
        <f>Table1[[#This Row],[Above Reorder QTY]]*Table1[[#This Row],[Unit Price (₹)]]</f>
        <v>996000</v>
      </c>
    </row>
    <row r="281" spans="1:17" x14ac:dyDescent="0.25">
      <c r="A281" s="3">
        <v>45935</v>
      </c>
      <c r="B281" t="s">
        <v>34</v>
      </c>
      <c r="C281" t="s">
        <v>18</v>
      </c>
      <c r="D281" t="s">
        <v>44</v>
      </c>
      <c r="E281" t="s">
        <v>20</v>
      </c>
      <c r="F281">
        <v>97</v>
      </c>
      <c r="G281">
        <v>16</v>
      </c>
      <c r="H281" t="s">
        <v>21</v>
      </c>
      <c r="I281">
        <v>8500</v>
      </c>
      <c r="J281">
        <v>208817.26</v>
      </c>
      <c r="K281">
        <v>13</v>
      </c>
      <c r="L281">
        <v>105583.18</v>
      </c>
      <c r="M281" t="s">
        <v>67</v>
      </c>
      <c r="N281">
        <f>Table1[[#This Row],[Quantity]]*Table1[[#This Row],[Unit Price (₹)]]</f>
        <v>824500</v>
      </c>
      <c r="O281">
        <f>MAX(0,Table1[[#This Row],[Reorder Level]]-Table1[[#This Row],[Quantity]])</f>
        <v>0</v>
      </c>
      <c r="P281">
        <f>MAX(0,Table1[[#This Row],[Quantity]]-Table1[[#This Row],[Reorder Level]])</f>
        <v>81</v>
      </c>
      <c r="Q281">
        <f>Table1[[#This Row],[Above Reorder QTY]]*Table1[[#This Row],[Unit Price (₹)]]</f>
        <v>688500</v>
      </c>
    </row>
    <row r="282" spans="1:17" x14ac:dyDescent="0.25">
      <c r="A282" s="3">
        <v>45936</v>
      </c>
      <c r="B282" t="s">
        <v>49</v>
      </c>
      <c r="C282" t="s">
        <v>50</v>
      </c>
      <c r="D282" t="s">
        <v>44</v>
      </c>
      <c r="E282" t="s">
        <v>45</v>
      </c>
      <c r="F282">
        <v>18</v>
      </c>
      <c r="G282">
        <v>40</v>
      </c>
      <c r="H282" t="s">
        <v>47</v>
      </c>
      <c r="I282">
        <v>850</v>
      </c>
      <c r="J282">
        <v>4394.9399999999996</v>
      </c>
      <c r="K282">
        <v>4</v>
      </c>
      <c r="L282">
        <v>3482.4</v>
      </c>
      <c r="M282" t="s">
        <v>67</v>
      </c>
      <c r="N282">
        <f>Table1[[#This Row],[Quantity]]*Table1[[#This Row],[Unit Price (₹)]]</f>
        <v>15300</v>
      </c>
      <c r="O282">
        <f>MAX(0,Table1[[#This Row],[Reorder Level]]-Table1[[#This Row],[Quantity]])</f>
        <v>22</v>
      </c>
      <c r="P282">
        <f>MAX(0,Table1[[#This Row],[Quantity]]-Table1[[#This Row],[Reorder Level]])</f>
        <v>0</v>
      </c>
      <c r="Q282">
        <f>Table1[[#This Row],[Above Reorder QTY]]*Table1[[#This Row],[Unit Price (₹)]]</f>
        <v>0</v>
      </c>
    </row>
    <row r="283" spans="1:17" x14ac:dyDescent="0.25">
      <c r="A283" s="3">
        <v>45937</v>
      </c>
      <c r="B283" t="s">
        <v>46</v>
      </c>
      <c r="C283" t="s">
        <v>18</v>
      </c>
      <c r="D283" t="s">
        <v>32</v>
      </c>
      <c r="E283" t="s">
        <v>33</v>
      </c>
      <c r="F283">
        <v>53</v>
      </c>
      <c r="G283">
        <v>47</v>
      </c>
      <c r="H283" t="s">
        <v>21</v>
      </c>
      <c r="I283">
        <v>6000</v>
      </c>
      <c r="J283">
        <v>73092.87</v>
      </c>
      <c r="K283">
        <v>8</v>
      </c>
      <c r="L283">
        <v>50539.1</v>
      </c>
      <c r="M283" t="s">
        <v>67</v>
      </c>
      <c r="N283">
        <f>Table1[[#This Row],[Quantity]]*Table1[[#This Row],[Unit Price (₹)]]</f>
        <v>318000</v>
      </c>
      <c r="O283">
        <f>MAX(0,Table1[[#This Row],[Reorder Level]]-Table1[[#This Row],[Quantity]])</f>
        <v>0</v>
      </c>
      <c r="P283">
        <f>MAX(0,Table1[[#This Row],[Quantity]]-Table1[[#This Row],[Reorder Level]])</f>
        <v>6</v>
      </c>
      <c r="Q283">
        <f>Table1[[#This Row],[Above Reorder QTY]]*Table1[[#This Row],[Unit Price (₹)]]</f>
        <v>36000</v>
      </c>
    </row>
    <row r="284" spans="1:17" x14ac:dyDescent="0.25">
      <c r="A284" s="3">
        <v>45938</v>
      </c>
      <c r="B284" t="s">
        <v>53</v>
      </c>
      <c r="C284" t="s">
        <v>28</v>
      </c>
      <c r="D284" t="s">
        <v>41</v>
      </c>
      <c r="E284" t="s">
        <v>45</v>
      </c>
      <c r="F284">
        <v>166</v>
      </c>
      <c r="G284">
        <v>50</v>
      </c>
      <c r="H284" t="s">
        <v>21</v>
      </c>
      <c r="I284">
        <v>120</v>
      </c>
      <c r="J284">
        <v>5092.72</v>
      </c>
      <c r="K284">
        <v>39</v>
      </c>
      <c r="L284">
        <v>5257.63</v>
      </c>
      <c r="M284" t="s">
        <v>67</v>
      </c>
      <c r="N284">
        <f>Table1[[#This Row],[Quantity]]*Table1[[#This Row],[Unit Price (₹)]]</f>
        <v>19920</v>
      </c>
      <c r="O284">
        <f>MAX(0,Table1[[#This Row],[Reorder Level]]-Table1[[#This Row],[Quantity]])</f>
        <v>0</v>
      </c>
      <c r="P284">
        <f>MAX(0,Table1[[#This Row],[Quantity]]-Table1[[#This Row],[Reorder Level]])</f>
        <v>116</v>
      </c>
      <c r="Q284">
        <f>Table1[[#This Row],[Above Reorder QTY]]*Table1[[#This Row],[Unit Price (₹)]]</f>
        <v>13920</v>
      </c>
    </row>
    <row r="285" spans="1:17" x14ac:dyDescent="0.25">
      <c r="A285" s="3">
        <v>45939</v>
      </c>
      <c r="B285" t="s">
        <v>40</v>
      </c>
      <c r="C285" t="s">
        <v>31</v>
      </c>
      <c r="D285" t="s">
        <v>25</v>
      </c>
      <c r="E285" t="s">
        <v>33</v>
      </c>
      <c r="F285">
        <v>233</v>
      </c>
      <c r="G285">
        <v>35</v>
      </c>
      <c r="H285" t="s">
        <v>21</v>
      </c>
      <c r="I285">
        <v>1400</v>
      </c>
      <c r="J285">
        <v>1194.68</v>
      </c>
      <c r="K285">
        <v>16</v>
      </c>
      <c r="L285">
        <v>24223.86</v>
      </c>
      <c r="M285" t="s">
        <v>67</v>
      </c>
      <c r="N285">
        <f>Table1[[#This Row],[Quantity]]*Table1[[#This Row],[Unit Price (₹)]]</f>
        <v>326200</v>
      </c>
      <c r="O285">
        <f>MAX(0,Table1[[#This Row],[Reorder Level]]-Table1[[#This Row],[Quantity]])</f>
        <v>0</v>
      </c>
      <c r="P285">
        <f>MAX(0,Table1[[#This Row],[Quantity]]-Table1[[#This Row],[Reorder Level]])</f>
        <v>198</v>
      </c>
      <c r="Q285">
        <f>Table1[[#This Row],[Above Reorder QTY]]*Table1[[#This Row],[Unit Price (₹)]]</f>
        <v>277200</v>
      </c>
    </row>
    <row r="286" spans="1:17" x14ac:dyDescent="0.25">
      <c r="A286" s="3">
        <v>45940</v>
      </c>
      <c r="B286" t="s">
        <v>49</v>
      </c>
      <c r="C286" t="s">
        <v>50</v>
      </c>
      <c r="D286" t="s">
        <v>32</v>
      </c>
      <c r="E286" t="s">
        <v>26</v>
      </c>
      <c r="F286">
        <v>115</v>
      </c>
      <c r="G286">
        <v>48</v>
      </c>
      <c r="H286" t="s">
        <v>21</v>
      </c>
      <c r="I286">
        <v>850</v>
      </c>
      <c r="J286">
        <v>17607.04</v>
      </c>
      <c r="K286">
        <v>25</v>
      </c>
      <c r="L286">
        <v>20517.78</v>
      </c>
      <c r="M286" t="s">
        <v>67</v>
      </c>
      <c r="N286">
        <f>Table1[[#This Row],[Quantity]]*Table1[[#This Row],[Unit Price (₹)]]</f>
        <v>97750</v>
      </c>
      <c r="O286">
        <f>MAX(0,Table1[[#This Row],[Reorder Level]]-Table1[[#This Row],[Quantity]])</f>
        <v>0</v>
      </c>
      <c r="P286">
        <f>MAX(0,Table1[[#This Row],[Quantity]]-Table1[[#This Row],[Reorder Level]])</f>
        <v>67</v>
      </c>
      <c r="Q286">
        <f>Table1[[#This Row],[Above Reorder QTY]]*Table1[[#This Row],[Unit Price (₹)]]</f>
        <v>56950</v>
      </c>
    </row>
    <row r="287" spans="1:17" x14ac:dyDescent="0.25">
      <c r="A287" s="3">
        <v>45941</v>
      </c>
      <c r="B287" t="s">
        <v>27</v>
      </c>
      <c r="C287" t="s">
        <v>28</v>
      </c>
      <c r="D287" t="s">
        <v>32</v>
      </c>
      <c r="E287" t="s">
        <v>26</v>
      </c>
      <c r="F287">
        <v>32</v>
      </c>
      <c r="G287">
        <v>41</v>
      </c>
      <c r="H287" t="s">
        <v>47</v>
      </c>
      <c r="I287">
        <v>18</v>
      </c>
      <c r="J287">
        <v>75.209999999999994</v>
      </c>
      <c r="K287">
        <v>5</v>
      </c>
      <c r="L287">
        <v>98.66</v>
      </c>
      <c r="M287" t="s">
        <v>67</v>
      </c>
      <c r="N287">
        <f>Table1[[#This Row],[Quantity]]*Table1[[#This Row],[Unit Price (₹)]]</f>
        <v>576</v>
      </c>
      <c r="O287">
        <f>MAX(0,Table1[[#This Row],[Reorder Level]]-Table1[[#This Row],[Quantity]])</f>
        <v>9</v>
      </c>
      <c r="P287">
        <f>MAX(0,Table1[[#This Row],[Quantity]]-Table1[[#This Row],[Reorder Level]])</f>
        <v>0</v>
      </c>
      <c r="Q287">
        <f>Table1[[#This Row],[Above Reorder QTY]]*Table1[[#This Row],[Unit Price (₹)]]</f>
        <v>0</v>
      </c>
    </row>
    <row r="288" spans="1:17" x14ac:dyDescent="0.25">
      <c r="A288" s="3">
        <v>45942</v>
      </c>
      <c r="B288" t="s">
        <v>17</v>
      </c>
      <c r="C288" t="s">
        <v>18</v>
      </c>
      <c r="D288" t="s">
        <v>44</v>
      </c>
      <c r="E288" t="s">
        <v>20</v>
      </c>
      <c r="F288">
        <v>134</v>
      </c>
      <c r="G288">
        <v>25</v>
      </c>
      <c r="H288" t="s">
        <v>21</v>
      </c>
      <c r="I288">
        <v>250</v>
      </c>
      <c r="J288">
        <v>10277.120000000001</v>
      </c>
      <c r="K288">
        <v>2</v>
      </c>
      <c r="L288">
        <v>487.86</v>
      </c>
      <c r="M288" t="s">
        <v>67</v>
      </c>
      <c r="N288">
        <f>Table1[[#This Row],[Quantity]]*Table1[[#This Row],[Unit Price (₹)]]</f>
        <v>33500</v>
      </c>
      <c r="O288">
        <f>MAX(0,Table1[[#This Row],[Reorder Level]]-Table1[[#This Row],[Quantity]])</f>
        <v>0</v>
      </c>
      <c r="P288">
        <f>MAX(0,Table1[[#This Row],[Quantity]]-Table1[[#This Row],[Reorder Level]])</f>
        <v>109</v>
      </c>
      <c r="Q288">
        <f>Table1[[#This Row],[Above Reorder QTY]]*Table1[[#This Row],[Unit Price (₹)]]</f>
        <v>27250</v>
      </c>
    </row>
    <row r="289" spans="1:17" x14ac:dyDescent="0.25">
      <c r="A289" s="3">
        <v>45943</v>
      </c>
      <c r="B289" t="s">
        <v>39</v>
      </c>
      <c r="C289" t="s">
        <v>31</v>
      </c>
      <c r="D289" t="s">
        <v>25</v>
      </c>
      <c r="E289" t="s">
        <v>37</v>
      </c>
      <c r="F289">
        <v>27</v>
      </c>
      <c r="G289">
        <v>27</v>
      </c>
      <c r="H289" t="s">
        <v>47</v>
      </c>
      <c r="I289">
        <v>650</v>
      </c>
      <c r="J289">
        <v>2737.49</v>
      </c>
      <c r="K289">
        <v>4</v>
      </c>
      <c r="L289">
        <v>2981.32</v>
      </c>
      <c r="M289" t="s">
        <v>67</v>
      </c>
      <c r="N289">
        <f>Table1[[#This Row],[Quantity]]*Table1[[#This Row],[Unit Price (₹)]]</f>
        <v>17550</v>
      </c>
      <c r="O289">
        <f>MAX(0,Table1[[#This Row],[Reorder Level]]-Table1[[#This Row],[Quantity]])</f>
        <v>0</v>
      </c>
      <c r="P289">
        <f>MAX(0,Table1[[#This Row],[Quantity]]-Table1[[#This Row],[Reorder Level]])</f>
        <v>0</v>
      </c>
      <c r="Q289">
        <f>Table1[[#This Row],[Above Reorder QTY]]*Table1[[#This Row],[Unit Price (₹)]]</f>
        <v>0</v>
      </c>
    </row>
    <row r="290" spans="1:17" x14ac:dyDescent="0.25">
      <c r="A290" s="3">
        <v>45944</v>
      </c>
      <c r="B290" t="s">
        <v>34</v>
      </c>
      <c r="C290" t="s">
        <v>18</v>
      </c>
      <c r="D290" t="s">
        <v>32</v>
      </c>
      <c r="E290" t="s">
        <v>33</v>
      </c>
      <c r="F290">
        <v>187</v>
      </c>
      <c r="G290">
        <v>50</v>
      </c>
      <c r="H290" t="s">
        <v>21</v>
      </c>
      <c r="I290">
        <v>8500</v>
      </c>
      <c r="J290">
        <v>54764.67</v>
      </c>
      <c r="K290">
        <v>19</v>
      </c>
      <c r="L290">
        <v>184805.51</v>
      </c>
      <c r="M290" t="s">
        <v>67</v>
      </c>
      <c r="N290">
        <f>Table1[[#This Row],[Quantity]]*Table1[[#This Row],[Unit Price (₹)]]</f>
        <v>1589500</v>
      </c>
      <c r="O290">
        <f>MAX(0,Table1[[#This Row],[Reorder Level]]-Table1[[#This Row],[Quantity]])</f>
        <v>0</v>
      </c>
      <c r="P290">
        <f>MAX(0,Table1[[#This Row],[Quantity]]-Table1[[#This Row],[Reorder Level]])</f>
        <v>137</v>
      </c>
      <c r="Q290">
        <f>Table1[[#This Row],[Above Reorder QTY]]*Table1[[#This Row],[Unit Price (₹)]]</f>
        <v>1164500</v>
      </c>
    </row>
    <row r="291" spans="1:17" x14ac:dyDescent="0.25">
      <c r="A291" s="3">
        <v>45945</v>
      </c>
      <c r="B291" t="s">
        <v>56</v>
      </c>
      <c r="C291" t="s">
        <v>28</v>
      </c>
      <c r="D291" t="s">
        <v>32</v>
      </c>
      <c r="E291" t="s">
        <v>35</v>
      </c>
      <c r="F291">
        <v>29</v>
      </c>
      <c r="G291">
        <v>41</v>
      </c>
      <c r="H291" t="s">
        <v>47</v>
      </c>
      <c r="I291">
        <v>1200</v>
      </c>
      <c r="J291">
        <v>6160.42</v>
      </c>
      <c r="K291">
        <v>2</v>
      </c>
      <c r="L291">
        <v>2377</v>
      </c>
      <c r="M291" t="s">
        <v>67</v>
      </c>
      <c r="N291">
        <f>Table1[[#This Row],[Quantity]]*Table1[[#This Row],[Unit Price (₹)]]</f>
        <v>34800</v>
      </c>
      <c r="O291">
        <f>MAX(0,Table1[[#This Row],[Reorder Level]]-Table1[[#This Row],[Quantity]])</f>
        <v>12</v>
      </c>
      <c r="P291">
        <f>MAX(0,Table1[[#This Row],[Quantity]]-Table1[[#This Row],[Reorder Level]])</f>
        <v>0</v>
      </c>
      <c r="Q291">
        <f>Table1[[#This Row],[Above Reorder QTY]]*Table1[[#This Row],[Unit Price (₹)]]</f>
        <v>0</v>
      </c>
    </row>
    <row r="292" spans="1:17" x14ac:dyDescent="0.25">
      <c r="A292" s="3">
        <v>45946</v>
      </c>
      <c r="B292" t="s">
        <v>40</v>
      </c>
      <c r="C292" t="s">
        <v>31</v>
      </c>
      <c r="D292" t="s">
        <v>19</v>
      </c>
      <c r="E292" t="s">
        <v>20</v>
      </c>
      <c r="F292">
        <v>117</v>
      </c>
      <c r="G292">
        <v>48</v>
      </c>
      <c r="H292" t="s">
        <v>21</v>
      </c>
      <c r="I292">
        <v>1400</v>
      </c>
      <c r="J292">
        <v>37809.18</v>
      </c>
      <c r="K292">
        <v>20</v>
      </c>
      <c r="L292">
        <v>28998.78</v>
      </c>
      <c r="M292" t="s">
        <v>67</v>
      </c>
      <c r="N292">
        <f>Table1[[#This Row],[Quantity]]*Table1[[#This Row],[Unit Price (₹)]]</f>
        <v>163800</v>
      </c>
      <c r="O292">
        <f>MAX(0,Table1[[#This Row],[Reorder Level]]-Table1[[#This Row],[Quantity]])</f>
        <v>0</v>
      </c>
      <c r="P292">
        <f>MAX(0,Table1[[#This Row],[Quantity]]-Table1[[#This Row],[Reorder Level]])</f>
        <v>69</v>
      </c>
      <c r="Q292">
        <f>Table1[[#This Row],[Above Reorder QTY]]*Table1[[#This Row],[Unit Price (₹)]]</f>
        <v>96600</v>
      </c>
    </row>
    <row r="293" spans="1:17" x14ac:dyDescent="0.25">
      <c r="A293" s="3">
        <v>45947</v>
      </c>
      <c r="B293" t="s">
        <v>57</v>
      </c>
      <c r="C293" t="s">
        <v>24</v>
      </c>
      <c r="D293" t="s">
        <v>19</v>
      </c>
      <c r="E293" t="s">
        <v>45</v>
      </c>
      <c r="F293">
        <v>96</v>
      </c>
      <c r="G293">
        <v>39</v>
      </c>
      <c r="H293" t="s">
        <v>21</v>
      </c>
      <c r="I293">
        <v>1200</v>
      </c>
      <c r="J293">
        <v>7252.23</v>
      </c>
      <c r="K293">
        <v>11</v>
      </c>
      <c r="L293">
        <v>13475.68</v>
      </c>
      <c r="M293" t="s">
        <v>67</v>
      </c>
      <c r="N293">
        <f>Table1[[#This Row],[Quantity]]*Table1[[#This Row],[Unit Price (₹)]]</f>
        <v>115200</v>
      </c>
      <c r="O293">
        <f>MAX(0,Table1[[#This Row],[Reorder Level]]-Table1[[#This Row],[Quantity]])</f>
        <v>0</v>
      </c>
      <c r="P293">
        <f>MAX(0,Table1[[#This Row],[Quantity]]-Table1[[#This Row],[Reorder Level]])</f>
        <v>57</v>
      </c>
      <c r="Q293">
        <f>Table1[[#This Row],[Above Reorder QTY]]*Table1[[#This Row],[Unit Price (₹)]]</f>
        <v>68400</v>
      </c>
    </row>
    <row r="294" spans="1:17" x14ac:dyDescent="0.25">
      <c r="A294" s="3">
        <v>45948</v>
      </c>
      <c r="B294" t="s">
        <v>51</v>
      </c>
      <c r="C294" t="s">
        <v>18</v>
      </c>
      <c r="D294" t="s">
        <v>42</v>
      </c>
      <c r="E294" t="s">
        <v>33</v>
      </c>
      <c r="F294">
        <v>25</v>
      </c>
      <c r="G294">
        <v>16</v>
      </c>
      <c r="H294" t="s">
        <v>21</v>
      </c>
      <c r="I294">
        <v>450</v>
      </c>
      <c r="J294">
        <v>3296.25</v>
      </c>
      <c r="K294">
        <v>1</v>
      </c>
      <c r="L294">
        <v>446.94</v>
      </c>
      <c r="M294" t="s">
        <v>67</v>
      </c>
      <c r="N294">
        <f>Table1[[#This Row],[Quantity]]*Table1[[#This Row],[Unit Price (₹)]]</f>
        <v>11250</v>
      </c>
      <c r="O294">
        <f>MAX(0,Table1[[#This Row],[Reorder Level]]-Table1[[#This Row],[Quantity]])</f>
        <v>0</v>
      </c>
      <c r="P294">
        <f>MAX(0,Table1[[#This Row],[Quantity]]-Table1[[#This Row],[Reorder Level]])</f>
        <v>9</v>
      </c>
      <c r="Q294">
        <f>Table1[[#This Row],[Above Reorder QTY]]*Table1[[#This Row],[Unit Price (₹)]]</f>
        <v>4050</v>
      </c>
    </row>
    <row r="295" spans="1:17" x14ac:dyDescent="0.25">
      <c r="A295" s="3">
        <v>45949</v>
      </c>
      <c r="B295" t="s">
        <v>40</v>
      </c>
      <c r="C295" t="s">
        <v>31</v>
      </c>
      <c r="D295" t="s">
        <v>41</v>
      </c>
      <c r="E295" t="s">
        <v>26</v>
      </c>
      <c r="F295">
        <v>192</v>
      </c>
      <c r="G295">
        <v>42</v>
      </c>
      <c r="H295" t="s">
        <v>21</v>
      </c>
      <c r="I295">
        <v>1400</v>
      </c>
      <c r="J295">
        <v>25020.799999999999</v>
      </c>
      <c r="K295">
        <v>22</v>
      </c>
      <c r="L295">
        <v>33420.82</v>
      </c>
      <c r="M295" t="s">
        <v>67</v>
      </c>
      <c r="N295">
        <f>Table1[[#This Row],[Quantity]]*Table1[[#This Row],[Unit Price (₹)]]</f>
        <v>268800</v>
      </c>
      <c r="O295">
        <f>MAX(0,Table1[[#This Row],[Reorder Level]]-Table1[[#This Row],[Quantity]])</f>
        <v>0</v>
      </c>
      <c r="P295">
        <f>MAX(0,Table1[[#This Row],[Quantity]]-Table1[[#This Row],[Reorder Level]])</f>
        <v>150</v>
      </c>
      <c r="Q295">
        <f>Table1[[#This Row],[Above Reorder QTY]]*Table1[[#This Row],[Unit Price (₹)]]</f>
        <v>210000</v>
      </c>
    </row>
    <row r="296" spans="1:17" x14ac:dyDescent="0.25">
      <c r="A296" s="3">
        <v>45950</v>
      </c>
      <c r="B296" t="s">
        <v>58</v>
      </c>
      <c r="C296" t="s">
        <v>28</v>
      </c>
      <c r="D296" t="s">
        <v>32</v>
      </c>
      <c r="E296" t="s">
        <v>35</v>
      </c>
      <c r="F296">
        <v>44</v>
      </c>
      <c r="G296">
        <v>43</v>
      </c>
      <c r="H296" t="s">
        <v>21</v>
      </c>
      <c r="I296">
        <v>3000</v>
      </c>
      <c r="J296">
        <v>20445.64</v>
      </c>
      <c r="K296">
        <v>3</v>
      </c>
      <c r="L296">
        <v>9532.35</v>
      </c>
      <c r="M296" t="s">
        <v>67</v>
      </c>
      <c r="N296">
        <f>Table1[[#This Row],[Quantity]]*Table1[[#This Row],[Unit Price (₹)]]</f>
        <v>132000</v>
      </c>
      <c r="O296">
        <f>MAX(0,Table1[[#This Row],[Reorder Level]]-Table1[[#This Row],[Quantity]])</f>
        <v>0</v>
      </c>
      <c r="P296">
        <f>MAX(0,Table1[[#This Row],[Quantity]]-Table1[[#This Row],[Reorder Level]])</f>
        <v>1</v>
      </c>
      <c r="Q296">
        <f>Table1[[#This Row],[Above Reorder QTY]]*Table1[[#This Row],[Unit Price (₹)]]</f>
        <v>3000</v>
      </c>
    </row>
    <row r="297" spans="1:17" x14ac:dyDescent="0.25">
      <c r="A297" s="3">
        <v>45951</v>
      </c>
      <c r="B297" t="s">
        <v>46</v>
      </c>
      <c r="C297" t="s">
        <v>18</v>
      </c>
      <c r="D297" t="s">
        <v>42</v>
      </c>
      <c r="E297" t="s">
        <v>35</v>
      </c>
      <c r="F297">
        <v>225</v>
      </c>
      <c r="G297">
        <v>30</v>
      </c>
      <c r="H297" t="s">
        <v>21</v>
      </c>
      <c r="I297">
        <v>6000</v>
      </c>
      <c r="J297">
        <v>126659.56</v>
      </c>
      <c r="K297">
        <v>8</v>
      </c>
      <c r="L297">
        <v>47555.53</v>
      </c>
      <c r="M297" t="s">
        <v>67</v>
      </c>
      <c r="N297">
        <f>Table1[[#This Row],[Quantity]]*Table1[[#This Row],[Unit Price (₹)]]</f>
        <v>1350000</v>
      </c>
      <c r="O297">
        <f>MAX(0,Table1[[#This Row],[Reorder Level]]-Table1[[#This Row],[Quantity]])</f>
        <v>0</v>
      </c>
      <c r="P297">
        <f>MAX(0,Table1[[#This Row],[Quantity]]-Table1[[#This Row],[Reorder Level]])</f>
        <v>195</v>
      </c>
      <c r="Q297">
        <f>Table1[[#This Row],[Above Reorder QTY]]*Table1[[#This Row],[Unit Price (₹)]]</f>
        <v>1170000</v>
      </c>
    </row>
    <row r="298" spans="1:17" x14ac:dyDescent="0.25">
      <c r="A298" s="3">
        <v>45952</v>
      </c>
      <c r="B298" t="s">
        <v>43</v>
      </c>
      <c r="C298" t="s">
        <v>24</v>
      </c>
      <c r="D298" t="s">
        <v>44</v>
      </c>
      <c r="E298" t="s">
        <v>26</v>
      </c>
      <c r="F298">
        <v>46</v>
      </c>
      <c r="G298">
        <v>37</v>
      </c>
      <c r="H298" t="s">
        <v>21</v>
      </c>
      <c r="I298">
        <v>2200</v>
      </c>
      <c r="J298">
        <v>25749.32</v>
      </c>
      <c r="K298">
        <v>10</v>
      </c>
      <c r="L298">
        <v>24413.200000000001</v>
      </c>
      <c r="M298" t="s">
        <v>67</v>
      </c>
      <c r="N298">
        <f>Table1[[#This Row],[Quantity]]*Table1[[#This Row],[Unit Price (₹)]]</f>
        <v>101200</v>
      </c>
      <c r="O298">
        <f>MAX(0,Table1[[#This Row],[Reorder Level]]-Table1[[#This Row],[Quantity]])</f>
        <v>0</v>
      </c>
      <c r="P298">
        <f>MAX(0,Table1[[#This Row],[Quantity]]-Table1[[#This Row],[Reorder Level]])</f>
        <v>9</v>
      </c>
      <c r="Q298">
        <f>Table1[[#This Row],[Above Reorder QTY]]*Table1[[#This Row],[Unit Price (₹)]]</f>
        <v>19800</v>
      </c>
    </row>
    <row r="299" spans="1:17" x14ac:dyDescent="0.25">
      <c r="A299" s="3">
        <v>45953</v>
      </c>
      <c r="B299" t="s">
        <v>53</v>
      </c>
      <c r="C299" t="s">
        <v>28</v>
      </c>
      <c r="D299" t="s">
        <v>32</v>
      </c>
      <c r="E299" t="s">
        <v>35</v>
      </c>
      <c r="F299">
        <v>168</v>
      </c>
      <c r="G299">
        <v>46</v>
      </c>
      <c r="H299" t="s">
        <v>21</v>
      </c>
      <c r="I299">
        <v>120</v>
      </c>
      <c r="J299">
        <v>3933.38</v>
      </c>
      <c r="K299">
        <v>20</v>
      </c>
      <c r="L299">
        <v>2361.3200000000002</v>
      </c>
      <c r="M299" t="s">
        <v>67</v>
      </c>
      <c r="N299">
        <f>Table1[[#This Row],[Quantity]]*Table1[[#This Row],[Unit Price (₹)]]</f>
        <v>20160</v>
      </c>
      <c r="O299">
        <f>MAX(0,Table1[[#This Row],[Reorder Level]]-Table1[[#This Row],[Quantity]])</f>
        <v>0</v>
      </c>
      <c r="P299">
        <f>MAX(0,Table1[[#This Row],[Quantity]]-Table1[[#This Row],[Reorder Level]])</f>
        <v>122</v>
      </c>
      <c r="Q299">
        <f>Table1[[#This Row],[Above Reorder QTY]]*Table1[[#This Row],[Unit Price (₹)]]</f>
        <v>14640</v>
      </c>
    </row>
    <row r="300" spans="1:17" x14ac:dyDescent="0.25">
      <c r="A300" s="3">
        <v>45954</v>
      </c>
      <c r="B300" t="s">
        <v>23</v>
      </c>
      <c r="C300" t="s">
        <v>24</v>
      </c>
      <c r="D300" t="s">
        <v>32</v>
      </c>
      <c r="E300" t="s">
        <v>33</v>
      </c>
      <c r="F300">
        <v>229</v>
      </c>
      <c r="G300">
        <v>19</v>
      </c>
      <c r="H300" t="s">
        <v>21</v>
      </c>
      <c r="I300">
        <v>2800</v>
      </c>
      <c r="J300">
        <v>103437</v>
      </c>
      <c r="K300">
        <v>32</v>
      </c>
      <c r="L300">
        <v>92863.52</v>
      </c>
      <c r="M300" t="s">
        <v>67</v>
      </c>
      <c r="N300">
        <f>Table1[[#This Row],[Quantity]]*Table1[[#This Row],[Unit Price (₹)]]</f>
        <v>641200</v>
      </c>
      <c r="O300">
        <f>MAX(0,Table1[[#This Row],[Reorder Level]]-Table1[[#This Row],[Quantity]])</f>
        <v>0</v>
      </c>
      <c r="P300">
        <f>MAX(0,Table1[[#This Row],[Quantity]]-Table1[[#This Row],[Reorder Level]])</f>
        <v>210</v>
      </c>
      <c r="Q300">
        <f>Table1[[#This Row],[Above Reorder QTY]]*Table1[[#This Row],[Unit Price (₹)]]</f>
        <v>588000</v>
      </c>
    </row>
    <row r="301" spans="1:17" x14ac:dyDescent="0.25">
      <c r="A301" s="3">
        <v>45955</v>
      </c>
      <c r="B301" t="s">
        <v>56</v>
      </c>
      <c r="C301" t="s">
        <v>28</v>
      </c>
      <c r="D301" t="s">
        <v>32</v>
      </c>
      <c r="E301" t="s">
        <v>26</v>
      </c>
      <c r="F301">
        <v>92</v>
      </c>
      <c r="G301">
        <v>25</v>
      </c>
      <c r="H301" t="s">
        <v>21</v>
      </c>
      <c r="I301">
        <v>1200</v>
      </c>
      <c r="J301">
        <v>9121.2999999999993</v>
      </c>
      <c r="K301">
        <v>23</v>
      </c>
      <c r="L301">
        <v>29772.53</v>
      </c>
      <c r="M301" t="s">
        <v>67</v>
      </c>
      <c r="N301">
        <f>Table1[[#This Row],[Quantity]]*Table1[[#This Row],[Unit Price (₹)]]</f>
        <v>110400</v>
      </c>
      <c r="O301">
        <f>MAX(0,Table1[[#This Row],[Reorder Level]]-Table1[[#This Row],[Quantity]])</f>
        <v>0</v>
      </c>
      <c r="P301">
        <f>MAX(0,Table1[[#This Row],[Quantity]]-Table1[[#This Row],[Reorder Level]])</f>
        <v>67</v>
      </c>
      <c r="Q301">
        <f>Table1[[#This Row],[Above Reorder QTY]]*Table1[[#This Row],[Unit Price (₹)]]</f>
        <v>80400</v>
      </c>
    </row>
    <row r="302" spans="1:17" x14ac:dyDescent="0.25">
      <c r="A302" s="3">
        <v>45956</v>
      </c>
      <c r="B302" t="s">
        <v>27</v>
      </c>
      <c r="C302" t="s">
        <v>28</v>
      </c>
      <c r="D302" t="s">
        <v>42</v>
      </c>
      <c r="E302" t="s">
        <v>29</v>
      </c>
      <c r="F302">
        <v>158</v>
      </c>
      <c r="G302">
        <v>19</v>
      </c>
      <c r="H302" t="s">
        <v>21</v>
      </c>
      <c r="I302">
        <v>18</v>
      </c>
      <c r="J302">
        <v>311.95</v>
      </c>
      <c r="K302">
        <v>29</v>
      </c>
      <c r="L302">
        <v>501</v>
      </c>
      <c r="M302" t="s">
        <v>67</v>
      </c>
      <c r="N302">
        <f>Table1[[#This Row],[Quantity]]*Table1[[#This Row],[Unit Price (₹)]]</f>
        <v>2844</v>
      </c>
      <c r="O302">
        <f>MAX(0,Table1[[#This Row],[Reorder Level]]-Table1[[#This Row],[Quantity]])</f>
        <v>0</v>
      </c>
      <c r="P302">
        <f>MAX(0,Table1[[#This Row],[Quantity]]-Table1[[#This Row],[Reorder Level]])</f>
        <v>139</v>
      </c>
      <c r="Q302">
        <f>Table1[[#This Row],[Above Reorder QTY]]*Table1[[#This Row],[Unit Price (₹)]]</f>
        <v>2502</v>
      </c>
    </row>
    <row r="303" spans="1:17" x14ac:dyDescent="0.25">
      <c r="A303" s="3">
        <v>45957</v>
      </c>
      <c r="B303" t="s">
        <v>17</v>
      </c>
      <c r="C303" t="s">
        <v>18</v>
      </c>
      <c r="D303" t="s">
        <v>32</v>
      </c>
      <c r="E303" t="s">
        <v>37</v>
      </c>
      <c r="F303">
        <v>227</v>
      </c>
      <c r="G303">
        <v>18</v>
      </c>
      <c r="H303" t="s">
        <v>21</v>
      </c>
      <c r="I303">
        <v>250</v>
      </c>
      <c r="J303">
        <v>7350.53</v>
      </c>
      <c r="K303">
        <v>23</v>
      </c>
      <c r="L303">
        <v>6523.14</v>
      </c>
      <c r="M303" t="s">
        <v>67</v>
      </c>
      <c r="N303">
        <f>Table1[[#This Row],[Quantity]]*Table1[[#This Row],[Unit Price (₹)]]</f>
        <v>56750</v>
      </c>
      <c r="O303">
        <f>MAX(0,Table1[[#This Row],[Reorder Level]]-Table1[[#This Row],[Quantity]])</f>
        <v>0</v>
      </c>
      <c r="P303">
        <f>MAX(0,Table1[[#This Row],[Quantity]]-Table1[[#This Row],[Reorder Level]])</f>
        <v>209</v>
      </c>
      <c r="Q303">
        <f>Table1[[#This Row],[Above Reorder QTY]]*Table1[[#This Row],[Unit Price (₹)]]</f>
        <v>52250</v>
      </c>
    </row>
    <row r="304" spans="1:17" x14ac:dyDescent="0.25">
      <c r="A304" s="3">
        <v>45958</v>
      </c>
      <c r="B304" t="s">
        <v>57</v>
      </c>
      <c r="C304" t="s">
        <v>24</v>
      </c>
      <c r="D304" t="s">
        <v>25</v>
      </c>
      <c r="E304" t="s">
        <v>45</v>
      </c>
      <c r="F304">
        <v>129</v>
      </c>
      <c r="G304">
        <v>50</v>
      </c>
      <c r="H304" t="s">
        <v>21</v>
      </c>
      <c r="I304">
        <v>1200</v>
      </c>
      <c r="J304">
        <v>2218.06</v>
      </c>
      <c r="K304">
        <v>10</v>
      </c>
      <c r="L304">
        <v>12221.6</v>
      </c>
      <c r="M304" t="s">
        <v>67</v>
      </c>
      <c r="N304">
        <f>Table1[[#This Row],[Quantity]]*Table1[[#This Row],[Unit Price (₹)]]</f>
        <v>154800</v>
      </c>
      <c r="O304">
        <f>MAX(0,Table1[[#This Row],[Reorder Level]]-Table1[[#This Row],[Quantity]])</f>
        <v>0</v>
      </c>
      <c r="P304">
        <f>MAX(0,Table1[[#This Row],[Quantity]]-Table1[[#This Row],[Reorder Level]])</f>
        <v>79</v>
      </c>
      <c r="Q304">
        <f>Table1[[#This Row],[Above Reorder QTY]]*Table1[[#This Row],[Unit Price (₹)]]</f>
        <v>94800</v>
      </c>
    </row>
    <row r="305" spans="1:17" x14ac:dyDescent="0.25">
      <c r="A305" s="3">
        <v>45959</v>
      </c>
      <c r="B305" t="s">
        <v>39</v>
      </c>
      <c r="C305" t="s">
        <v>31</v>
      </c>
      <c r="D305" t="s">
        <v>41</v>
      </c>
      <c r="E305" t="s">
        <v>45</v>
      </c>
      <c r="F305">
        <v>37</v>
      </c>
      <c r="G305">
        <v>27</v>
      </c>
      <c r="H305" t="s">
        <v>21</v>
      </c>
      <c r="I305">
        <v>650</v>
      </c>
      <c r="J305">
        <v>2560.67</v>
      </c>
      <c r="K305">
        <v>9</v>
      </c>
      <c r="L305">
        <v>6348.88</v>
      </c>
      <c r="M305" t="s">
        <v>67</v>
      </c>
      <c r="N305">
        <f>Table1[[#This Row],[Quantity]]*Table1[[#This Row],[Unit Price (₹)]]</f>
        <v>24050</v>
      </c>
      <c r="O305">
        <f>MAX(0,Table1[[#This Row],[Reorder Level]]-Table1[[#This Row],[Quantity]])</f>
        <v>0</v>
      </c>
      <c r="P305">
        <f>MAX(0,Table1[[#This Row],[Quantity]]-Table1[[#This Row],[Reorder Level]])</f>
        <v>10</v>
      </c>
      <c r="Q305">
        <f>Table1[[#This Row],[Above Reorder QTY]]*Table1[[#This Row],[Unit Price (₹)]]</f>
        <v>6500</v>
      </c>
    </row>
    <row r="306" spans="1:17" x14ac:dyDescent="0.25">
      <c r="A306" s="3">
        <v>45960</v>
      </c>
      <c r="B306" t="s">
        <v>54</v>
      </c>
      <c r="C306" t="s">
        <v>50</v>
      </c>
      <c r="D306" t="s">
        <v>32</v>
      </c>
      <c r="E306" t="s">
        <v>26</v>
      </c>
      <c r="F306">
        <v>8</v>
      </c>
      <c r="G306">
        <v>13</v>
      </c>
      <c r="H306" t="s">
        <v>47</v>
      </c>
      <c r="I306">
        <v>1500</v>
      </c>
      <c r="J306">
        <v>1249.24</v>
      </c>
      <c r="K306">
        <v>1</v>
      </c>
      <c r="L306">
        <v>1673.26</v>
      </c>
      <c r="M306" t="s">
        <v>67</v>
      </c>
      <c r="N306">
        <f>Table1[[#This Row],[Quantity]]*Table1[[#This Row],[Unit Price (₹)]]</f>
        <v>12000</v>
      </c>
      <c r="O306">
        <f>MAX(0,Table1[[#This Row],[Reorder Level]]-Table1[[#This Row],[Quantity]])</f>
        <v>5</v>
      </c>
      <c r="P306">
        <f>MAX(0,Table1[[#This Row],[Quantity]]-Table1[[#This Row],[Reorder Level]])</f>
        <v>0</v>
      </c>
      <c r="Q306">
        <f>Table1[[#This Row],[Above Reorder QTY]]*Table1[[#This Row],[Unit Price (₹)]]</f>
        <v>0</v>
      </c>
    </row>
    <row r="307" spans="1:17" x14ac:dyDescent="0.25">
      <c r="A307" s="3">
        <v>45961</v>
      </c>
      <c r="B307" t="s">
        <v>57</v>
      </c>
      <c r="C307" t="s">
        <v>24</v>
      </c>
      <c r="D307" t="s">
        <v>19</v>
      </c>
      <c r="E307" t="s">
        <v>35</v>
      </c>
      <c r="F307">
        <v>188</v>
      </c>
      <c r="G307">
        <v>12</v>
      </c>
      <c r="H307" t="s">
        <v>21</v>
      </c>
      <c r="I307">
        <v>1200</v>
      </c>
      <c r="J307">
        <v>1074.3499999999999</v>
      </c>
      <c r="K307">
        <v>44</v>
      </c>
      <c r="L307">
        <v>60633.5</v>
      </c>
      <c r="M307" t="s">
        <v>67</v>
      </c>
      <c r="N307">
        <f>Table1[[#This Row],[Quantity]]*Table1[[#This Row],[Unit Price (₹)]]</f>
        <v>225600</v>
      </c>
      <c r="O307">
        <f>MAX(0,Table1[[#This Row],[Reorder Level]]-Table1[[#This Row],[Quantity]])</f>
        <v>0</v>
      </c>
      <c r="P307">
        <f>MAX(0,Table1[[#This Row],[Quantity]]-Table1[[#This Row],[Reorder Level]])</f>
        <v>176</v>
      </c>
      <c r="Q307">
        <f>Table1[[#This Row],[Above Reorder QTY]]*Table1[[#This Row],[Unit Price (₹)]]</f>
        <v>211200</v>
      </c>
    </row>
    <row r="308" spans="1:17" x14ac:dyDescent="0.25">
      <c r="A308" s="3">
        <v>45962</v>
      </c>
      <c r="B308" t="s">
        <v>58</v>
      </c>
      <c r="C308" t="s">
        <v>28</v>
      </c>
      <c r="D308" t="s">
        <v>25</v>
      </c>
      <c r="E308" t="s">
        <v>45</v>
      </c>
      <c r="F308">
        <v>168</v>
      </c>
      <c r="G308">
        <v>12</v>
      </c>
      <c r="H308" t="s">
        <v>21</v>
      </c>
      <c r="I308">
        <v>3000</v>
      </c>
      <c r="J308">
        <v>77206.02</v>
      </c>
      <c r="K308">
        <v>21</v>
      </c>
      <c r="L308">
        <v>67319.429999999993</v>
      </c>
      <c r="M308" t="s">
        <v>68</v>
      </c>
      <c r="N308">
        <f>Table1[[#This Row],[Quantity]]*Table1[[#This Row],[Unit Price (₹)]]</f>
        <v>504000</v>
      </c>
      <c r="O308">
        <f>MAX(0,Table1[[#This Row],[Reorder Level]]-Table1[[#This Row],[Quantity]])</f>
        <v>0</v>
      </c>
      <c r="P308">
        <f>MAX(0,Table1[[#This Row],[Quantity]]-Table1[[#This Row],[Reorder Level]])</f>
        <v>156</v>
      </c>
      <c r="Q308">
        <f>Table1[[#This Row],[Above Reorder QTY]]*Table1[[#This Row],[Unit Price (₹)]]</f>
        <v>468000</v>
      </c>
    </row>
    <row r="309" spans="1:17" x14ac:dyDescent="0.25">
      <c r="A309" s="3">
        <v>45963</v>
      </c>
      <c r="B309" t="s">
        <v>57</v>
      </c>
      <c r="C309" t="s">
        <v>24</v>
      </c>
      <c r="D309" t="s">
        <v>42</v>
      </c>
      <c r="E309" t="s">
        <v>35</v>
      </c>
      <c r="F309">
        <v>9</v>
      </c>
      <c r="G309">
        <v>37</v>
      </c>
      <c r="H309" t="s">
        <v>47</v>
      </c>
      <c r="I309">
        <v>1200</v>
      </c>
      <c r="J309">
        <v>3380</v>
      </c>
      <c r="K309">
        <v>1</v>
      </c>
      <c r="L309">
        <v>1294.02</v>
      </c>
      <c r="M309" t="s">
        <v>68</v>
      </c>
      <c r="N309">
        <f>Table1[[#This Row],[Quantity]]*Table1[[#This Row],[Unit Price (₹)]]</f>
        <v>10800</v>
      </c>
      <c r="O309">
        <f>MAX(0,Table1[[#This Row],[Reorder Level]]-Table1[[#This Row],[Quantity]])</f>
        <v>28</v>
      </c>
      <c r="P309">
        <f>MAX(0,Table1[[#This Row],[Quantity]]-Table1[[#This Row],[Reorder Level]])</f>
        <v>0</v>
      </c>
      <c r="Q309">
        <f>Table1[[#This Row],[Above Reorder QTY]]*Table1[[#This Row],[Unit Price (₹)]]</f>
        <v>0</v>
      </c>
    </row>
    <row r="310" spans="1:17" x14ac:dyDescent="0.25">
      <c r="A310" s="3">
        <v>45964</v>
      </c>
      <c r="B310" t="s">
        <v>49</v>
      </c>
      <c r="C310" t="s">
        <v>50</v>
      </c>
      <c r="D310" t="s">
        <v>44</v>
      </c>
      <c r="E310" t="s">
        <v>35</v>
      </c>
      <c r="F310">
        <v>22</v>
      </c>
      <c r="G310">
        <v>16</v>
      </c>
      <c r="H310" t="s">
        <v>21</v>
      </c>
      <c r="I310">
        <v>850</v>
      </c>
      <c r="J310">
        <v>3226.14</v>
      </c>
      <c r="K310">
        <v>4</v>
      </c>
      <c r="L310">
        <v>3388.26</v>
      </c>
      <c r="M310" t="s">
        <v>68</v>
      </c>
      <c r="N310">
        <f>Table1[[#This Row],[Quantity]]*Table1[[#This Row],[Unit Price (₹)]]</f>
        <v>18700</v>
      </c>
      <c r="O310">
        <f>MAX(0,Table1[[#This Row],[Reorder Level]]-Table1[[#This Row],[Quantity]])</f>
        <v>0</v>
      </c>
      <c r="P310">
        <f>MAX(0,Table1[[#This Row],[Quantity]]-Table1[[#This Row],[Reorder Level]])</f>
        <v>6</v>
      </c>
      <c r="Q310">
        <f>Table1[[#This Row],[Above Reorder QTY]]*Table1[[#This Row],[Unit Price (₹)]]</f>
        <v>5100</v>
      </c>
    </row>
    <row r="311" spans="1:17" x14ac:dyDescent="0.25">
      <c r="A311" s="3">
        <v>45965</v>
      </c>
      <c r="B311" t="s">
        <v>51</v>
      </c>
      <c r="C311" t="s">
        <v>18</v>
      </c>
      <c r="D311" t="s">
        <v>42</v>
      </c>
      <c r="E311" t="s">
        <v>37</v>
      </c>
      <c r="F311">
        <v>200</v>
      </c>
      <c r="G311">
        <v>34</v>
      </c>
      <c r="H311" t="s">
        <v>21</v>
      </c>
      <c r="I311">
        <v>450</v>
      </c>
      <c r="J311">
        <v>1103.01</v>
      </c>
      <c r="K311">
        <v>12</v>
      </c>
      <c r="L311">
        <v>5317.67</v>
      </c>
      <c r="M311" t="s">
        <v>68</v>
      </c>
      <c r="N311">
        <f>Table1[[#This Row],[Quantity]]*Table1[[#This Row],[Unit Price (₹)]]</f>
        <v>90000</v>
      </c>
      <c r="O311">
        <f>MAX(0,Table1[[#This Row],[Reorder Level]]-Table1[[#This Row],[Quantity]])</f>
        <v>0</v>
      </c>
      <c r="P311">
        <f>MAX(0,Table1[[#This Row],[Quantity]]-Table1[[#This Row],[Reorder Level]])</f>
        <v>166</v>
      </c>
      <c r="Q311">
        <f>Table1[[#This Row],[Above Reorder QTY]]*Table1[[#This Row],[Unit Price (₹)]]</f>
        <v>74700</v>
      </c>
    </row>
    <row r="312" spans="1:17" x14ac:dyDescent="0.25">
      <c r="A312" s="3">
        <v>45966</v>
      </c>
      <c r="B312" t="s">
        <v>49</v>
      </c>
      <c r="C312" t="s">
        <v>50</v>
      </c>
      <c r="D312" t="s">
        <v>32</v>
      </c>
      <c r="E312" t="s">
        <v>45</v>
      </c>
      <c r="F312">
        <v>36</v>
      </c>
      <c r="G312">
        <v>28</v>
      </c>
      <c r="H312" t="s">
        <v>21</v>
      </c>
      <c r="I312">
        <v>850</v>
      </c>
      <c r="J312">
        <v>8544.5499999999993</v>
      </c>
      <c r="K312">
        <v>7</v>
      </c>
      <c r="L312">
        <v>6379.62</v>
      </c>
      <c r="M312" t="s">
        <v>68</v>
      </c>
      <c r="N312">
        <f>Table1[[#This Row],[Quantity]]*Table1[[#This Row],[Unit Price (₹)]]</f>
        <v>30600</v>
      </c>
      <c r="O312">
        <f>MAX(0,Table1[[#This Row],[Reorder Level]]-Table1[[#This Row],[Quantity]])</f>
        <v>0</v>
      </c>
      <c r="P312">
        <f>MAX(0,Table1[[#This Row],[Quantity]]-Table1[[#This Row],[Reorder Level]])</f>
        <v>8</v>
      </c>
      <c r="Q312">
        <f>Table1[[#This Row],[Above Reorder QTY]]*Table1[[#This Row],[Unit Price (₹)]]</f>
        <v>6800</v>
      </c>
    </row>
    <row r="313" spans="1:17" x14ac:dyDescent="0.25">
      <c r="A313" s="3">
        <v>45967</v>
      </c>
      <c r="B313" t="s">
        <v>61</v>
      </c>
      <c r="C313" t="s">
        <v>50</v>
      </c>
      <c r="D313" t="s">
        <v>44</v>
      </c>
      <c r="E313" t="s">
        <v>33</v>
      </c>
      <c r="F313">
        <v>239</v>
      </c>
      <c r="G313">
        <v>34</v>
      </c>
      <c r="H313" t="s">
        <v>21</v>
      </c>
      <c r="I313">
        <v>900</v>
      </c>
      <c r="J313">
        <v>47843.16</v>
      </c>
      <c r="K313">
        <v>54</v>
      </c>
      <c r="L313">
        <v>46277.24</v>
      </c>
      <c r="M313" t="s">
        <v>68</v>
      </c>
      <c r="N313">
        <f>Table1[[#This Row],[Quantity]]*Table1[[#This Row],[Unit Price (₹)]]</f>
        <v>215100</v>
      </c>
      <c r="O313">
        <f>MAX(0,Table1[[#This Row],[Reorder Level]]-Table1[[#This Row],[Quantity]])</f>
        <v>0</v>
      </c>
      <c r="P313">
        <f>MAX(0,Table1[[#This Row],[Quantity]]-Table1[[#This Row],[Reorder Level]])</f>
        <v>205</v>
      </c>
      <c r="Q313">
        <f>Table1[[#This Row],[Above Reorder QTY]]*Table1[[#This Row],[Unit Price (₹)]]</f>
        <v>184500</v>
      </c>
    </row>
    <row r="314" spans="1:17" x14ac:dyDescent="0.25">
      <c r="A314" s="3">
        <v>45968</v>
      </c>
      <c r="B314" t="s">
        <v>40</v>
      </c>
      <c r="C314" t="s">
        <v>31</v>
      </c>
      <c r="D314" t="s">
        <v>44</v>
      </c>
      <c r="E314" t="s">
        <v>33</v>
      </c>
      <c r="F314">
        <v>164</v>
      </c>
      <c r="G314">
        <v>30</v>
      </c>
      <c r="H314" t="s">
        <v>21</v>
      </c>
      <c r="I314">
        <v>1400</v>
      </c>
      <c r="J314">
        <v>64039.78</v>
      </c>
      <c r="K314">
        <v>17</v>
      </c>
      <c r="L314">
        <v>24040.33</v>
      </c>
      <c r="M314" t="s">
        <v>68</v>
      </c>
      <c r="N314">
        <f>Table1[[#This Row],[Quantity]]*Table1[[#This Row],[Unit Price (₹)]]</f>
        <v>229600</v>
      </c>
      <c r="O314">
        <f>MAX(0,Table1[[#This Row],[Reorder Level]]-Table1[[#This Row],[Quantity]])</f>
        <v>0</v>
      </c>
      <c r="P314">
        <f>MAX(0,Table1[[#This Row],[Quantity]]-Table1[[#This Row],[Reorder Level]])</f>
        <v>134</v>
      </c>
      <c r="Q314">
        <f>Table1[[#This Row],[Above Reorder QTY]]*Table1[[#This Row],[Unit Price (₹)]]</f>
        <v>187600</v>
      </c>
    </row>
    <row r="315" spans="1:17" x14ac:dyDescent="0.25">
      <c r="A315" s="3">
        <v>45969</v>
      </c>
      <c r="B315" t="s">
        <v>61</v>
      </c>
      <c r="C315" t="s">
        <v>50</v>
      </c>
      <c r="D315" t="s">
        <v>42</v>
      </c>
      <c r="E315" t="s">
        <v>20</v>
      </c>
      <c r="F315">
        <v>241</v>
      </c>
      <c r="G315">
        <v>22</v>
      </c>
      <c r="H315" t="s">
        <v>21</v>
      </c>
      <c r="I315">
        <v>900</v>
      </c>
      <c r="J315">
        <v>19023.36</v>
      </c>
      <c r="K315">
        <v>15</v>
      </c>
      <c r="L315">
        <v>14185.04</v>
      </c>
      <c r="M315" t="s">
        <v>68</v>
      </c>
      <c r="N315">
        <f>Table1[[#This Row],[Quantity]]*Table1[[#This Row],[Unit Price (₹)]]</f>
        <v>216900</v>
      </c>
      <c r="O315">
        <f>MAX(0,Table1[[#This Row],[Reorder Level]]-Table1[[#This Row],[Quantity]])</f>
        <v>0</v>
      </c>
      <c r="P315">
        <f>MAX(0,Table1[[#This Row],[Quantity]]-Table1[[#This Row],[Reorder Level]])</f>
        <v>219</v>
      </c>
      <c r="Q315">
        <f>Table1[[#This Row],[Above Reorder QTY]]*Table1[[#This Row],[Unit Price (₹)]]</f>
        <v>197100</v>
      </c>
    </row>
    <row r="316" spans="1:17" x14ac:dyDescent="0.25">
      <c r="A316" s="3">
        <v>45970</v>
      </c>
      <c r="B316" t="s">
        <v>53</v>
      </c>
      <c r="C316" t="s">
        <v>28</v>
      </c>
      <c r="D316" t="s">
        <v>32</v>
      </c>
      <c r="E316" t="s">
        <v>20</v>
      </c>
      <c r="F316">
        <v>81</v>
      </c>
      <c r="G316">
        <v>24</v>
      </c>
      <c r="H316" t="s">
        <v>21</v>
      </c>
      <c r="I316">
        <v>120</v>
      </c>
      <c r="J316">
        <v>1820.18</v>
      </c>
      <c r="K316">
        <v>17</v>
      </c>
      <c r="L316">
        <v>2239.89</v>
      </c>
      <c r="M316" t="s">
        <v>68</v>
      </c>
      <c r="N316">
        <f>Table1[[#This Row],[Quantity]]*Table1[[#This Row],[Unit Price (₹)]]</f>
        <v>9720</v>
      </c>
      <c r="O316">
        <f>MAX(0,Table1[[#This Row],[Reorder Level]]-Table1[[#This Row],[Quantity]])</f>
        <v>0</v>
      </c>
      <c r="P316">
        <f>MAX(0,Table1[[#This Row],[Quantity]]-Table1[[#This Row],[Reorder Level]])</f>
        <v>57</v>
      </c>
      <c r="Q316">
        <f>Table1[[#This Row],[Above Reorder QTY]]*Table1[[#This Row],[Unit Price (₹)]]</f>
        <v>6840</v>
      </c>
    </row>
    <row r="317" spans="1:17" x14ac:dyDescent="0.25">
      <c r="A317" s="3">
        <v>45971</v>
      </c>
      <c r="B317" t="s">
        <v>43</v>
      </c>
      <c r="C317" t="s">
        <v>24</v>
      </c>
      <c r="D317" t="s">
        <v>32</v>
      </c>
      <c r="E317" t="s">
        <v>26</v>
      </c>
      <c r="F317">
        <v>130</v>
      </c>
      <c r="G317">
        <v>19</v>
      </c>
      <c r="H317" t="s">
        <v>21</v>
      </c>
      <c r="I317">
        <v>2200</v>
      </c>
      <c r="J317">
        <v>58503.32</v>
      </c>
      <c r="K317">
        <v>18</v>
      </c>
      <c r="L317">
        <v>43606.62</v>
      </c>
      <c r="M317" t="s">
        <v>68</v>
      </c>
      <c r="N317">
        <f>Table1[[#This Row],[Quantity]]*Table1[[#This Row],[Unit Price (₹)]]</f>
        <v>286000</v>
      </c>
      <c r="O317">
        <f>MAX(0,Table1[[#This Row],[Reorder Level]]-Table1[[#This Row],[Quantity]])</f>
        <v>0</v>
      </c>
      <c r="P317">
        <f>MAX(0,Table1[[#This Row],[Quantity]]-Table1[[#This Row],[Reorder Level]])</f>
        <v>111</v>
      </c>
      <c r="Q317">
        <f>Table1[[#This Row],[Above Reorder QTY]]*Table1[[#This Row],[Unit Price (₹)]]</f>
        <v>244200</v>
      </c>
    </row>
    <row r="318" spans="1:17" x14ac:dyDescent="0.25">
      <c r="A318" s="3">
        <v>45972</v>
      </c>
      <c r="B318" t="s">
        <v>58</v>
      </c>
      <c r="C318" t="s">
        <v>28</v>
      </c>
      <c r="D318" t="s">
        <v>19</v>
      </c>
      <c r="E318" t="s">
        <v>35</v>
      </c>
      <c r="F318">
        <v>128</v>
      </c>
      <c r="G318">
        <v>50</v>
      </c>
      <c r="H318" t="s">
        <v>21</v>
      </c>
      <c r="I318">
        <v>3000</v>
      </c>
      <c r="J318">
        <v>7420.84</v>
      </c>
      <c r="K318">
        <v>32</v>
      </c>
      <c r="L318">
        <v>98778.08</v>
      </c>
      <c r="M318" t="s">
        <v>68</v>
      </c>
      <c r="N318">
        <f>Table1[[#This Row],[Quantity]]*Table1[[#This Row],[Unit Price (₹)]]</f>
        <v>384000</v>
      </c>
      <c r="O318">
        <f>MAX(0,Table1[[#This Row],[Reorder Level]]-Table1[[#This Row],[Quantity]])</f>
        <v>0</v>
      </c>
      <c r="P318">
        <f>MAX(0,Table1[[#This Row],[Quantity]]-Table1[[#This Row],[Reorder Level]])</f>
        <v>78</v>
      </c>
      <c r="Q318">
        <f>Table1[[#This Row],[Above Reorder QTY]]*Table1[[#This Row],[Unit Price (₹)]]</f>
        <v>234000</v>
      </c>
    </row>
    <row r="319" spans="1:17" x14ac:dyDescent="0.25">
      <c r="A319" s="3">
        <v>45973</v>
      </c>
      <c r="B319" t="s">
        <v>17</v>
      </c>
      <c r="C319" t="s">
        <v>18</v>
      </c>
      <c r="D319" t="s">
        <v>32</v>
      </c>
      <c r="E319" t="s">
        <v>29</v>
      </c>
      <c r="F319">
        <v>7</v>
      </c>
      <c r="G319">
        <v>25</v>
      </c>
      <c r="H319" t="s">
        <v>47</v>
      </c>
      <c r="I319">
        <v>250</v>
      </c>
      <c r="J319">
        <v>233.91</v>
      </c>
      <c r="K319">
        <v>1</v>
      </c>
      <c r="L319">
        <v>283.95999999999998</v>
      </c>
      <c r="M319" t="s">
        <v>68</v>
      </c>
      <c r="N319">
        <f>Table1[[#This Row],[Quantity]]*Table1[[#This Row],[Unit Price (₹)]]</f>
        <v>1750</v>
      </c>
      <c r="O319">
        <f>MAX(0,Table1[[#This Row],[Reorder Level]]-Table1[[#This Row],[Quantity]])</f>
        <v>18</v>
      </c>
      <c r="P319">
        <f>MAX(0,Table1[[#This Row],[Quantity]]-Table1[[#This Row],[Reorder Level]])</f>
        <v>0</v>
      </c>
      <c r="Q319">
        <f>Table1[[#This Row],[Above Reorder QTY]]*Table1[[#This Row],[Unit Price (₹)]]</f>
        <v>0</v>
      </c>
    </row>
    <row r="320" spans="1:17" x14ac:dyDescent="0.25">
      <c r="A320" s="3">
        <v>45974</v>
      </c>
      <c r="B320" t="s">
        <v>34</v>
      </c>
      <c r="C320" t="s">
        <v>18</v>
      </c>
      <c r="D320" t="s">
        <v>32</v>
      </c>
      <c r="E320" t="s">
        <v>20</v>
      </c>
      <c r="F320">
        <v>146</v>
      </c>
      <c r="G320">
        <v>19</v>
      </c>
      <c r="H320" t="s">
        <v>21</v>
      </c>
      <c r="I320">
        <v>8500</v>
      </c>
      <c r="J320">
        <v>179534.39</v>
      </c>
      <c r="K320">
        <v>1</v>
      </c>
      <c r="L320">
        <v>9390.7800000000007</v>
      </c>
      <c r="M320" t="s">
        <v>68</v>
      </c>
      <c r="N320">
        <f>Table1[[#This Row],[Quantity]]*Table1[[#This Row],[Unit Price (₹)]]</f>
        <v>1241000</v>
      </c>
      <c r="O320">
        <f>MAX(0,Table1[[#This Row],[Reorder Level]]-Table1[[#This Row],[Quantity]])</f>
        <v>0</v>
      </c>
      <c r="P320">
        <f>MAX(0,Table1[[#This Row],[Quantity]]-Table1[[#This Row],[Reorder Level]])</f>
        <v>127</v>
      </c>
      <c r="Q320">
        <f>Table1[[#This Row],[Above Reorder QTY]]*Table1[[#This Row],[Unit Price (₹)]]</f>
        <v>1079500</v>
      </c>
    </row>
    <row r="321" spans="1:17" x14ac:dyDescent="0.25">
      <c r="A321" s="3">
        <v>45975</v>
      </c>
      <c r="B321" t="s">
        <v>27</v>
      </c>
      <c r="C321" t="s">
        <v>28</v>
      </c>
      <c r="D321" t="s">
        <v>19</v>
      </c>
      <c r="E321" t="s">
        <v>29</v>
      </c>
      <c r="F321">
        <v>37</v>
      </c>
      <c r="G321">
        <v>39</v>
      </c>
      <c r="H321" t="s">
        <v>47</v>
      </c>
      <c r="I321">
        <v>18</v>
      </c>
      <c r="J321">
        <v>46.33</v>
      </c>
      <c r="K321">
        <v>1</v>
      </c>
      <c r="L321">
        <v>19.559999999999999</v>
      </c>
      <c r="M321" t="s">
        <v>68</v>
      </c>
      <c r="N321">
        <f>Table1[[#This Row],[Quantity]]*Table1[[#This Row],[Unit Price (₹)]]</f>
        <v>666</v>
      </c>
      <c r="O321">
        <f>MAX(0,Table1[[#This Row],[Reorder Level]]-Table1[[#This Row],[Quantity]])</f>
        <v>2</v>
      </c>
      <c r="P321">
        <f>MAX(0,Table1[[#This Row],[Quantity]]-Table1[[#This Row],[Reorder Level]])</f>
        <v>0</v>
      </c>
      <c r="Q321">
        <f>Table1[[#This Row],[Above Reorder QTY]]*Table1[[#This Row],[Unit Price (₹)]]</f>
        <v>0</v>
      </c>
    </row>
    <row r="322" spans="1:17" x14ac:dyDescent="0.25">
      <c r="A322" s="3">
        <v>45976</v>
      </c>
      <c r="B322" t="s">
        <v>57</v>
      </c>
      <c r="C322" t="s">
        <v>24</v>
      </c>
      <c r="D322" t="s">
        <v>32</v>
      </c>
      <c r="E322" t="s">
        <v>33</v>
      </c>
      <c r="F322">
        <v>82</v>
      </c>
      <c r="G322">
        <v>25</v>
      </c>
      <c r="H322" t="s">
        <v>21</v>
      </c>
      <c r="I322">
        <v>1200</v>
      </c>
      <c r="J322">
        <v>8266.5499999999993</v>
      </c>
      <c r="K322">
        <v>7</v>
      </c>
      <c r="L322">
        <v>8960.99</v>
      </c>
      <c r="M322" t="s">
        <v>68</v>
      </c>
      <c r="N322">
        <f>Table1[[#This Row],[Quantity]]*Table1[[#This Row],[Unit Price (₹)]]</f>
        <v>98400</v>
      </c>
      <c r="O322">
        <f>MAX(0,Table1[[#This Row],[Reorder Level]]-Table1[[#This Row],[Quantity]])</f>
        <v>0</v>
      </c>
      <c r="P322">
        <f>MAX(0,Table1[[#This Row],[Quantity]]-Table1[[#This Row],[Reorder Level]])</f>
        <v>57</v>
      </c>
      <c r="Q322">
        <f>Table1[[#This Row],[Above Reorder QTY]]*Table1[[#This Row],[Unit Price (₹)]]</f>
        <v>68400</v>
      </c>
    </row>
    <row r="323" spans="1:17" x14ac:dyDescent="0.25">
      <c r="A323" s="3">
        <v>45977</v>
      </c>
      <c r="B323" t="s">
        <v>40</v>
      </c>
      <c r="C323" t="s">
        <v>31</v>
      </c>
      <c r="D323" t="s">
        <v>19</v>
      </c>
      <c r="E323" t="s">
        <v>20</v>
      </c>
      <c r="F323">
        <v>193</v>
      </c>
      <c r="G323">
        <v>38</v>
      </c>
      <c r="H323" t="s">
        <v>21</v>
      </c>
      <c r="I323">
        <v>1400</v>
      </c>
      <c r="J323">
        <v>28341.34</v>
      </c>
      <c r="K323">
        <v>4</v>
      </c>
      <c r="L323">
        <v>5450.23</v>
      </c>
      <c r="M323" t="s">
        <v>68</v>
      </c>
      <c r="N323">
        <f>Table1[[#This Row],[Quantity]]*Table1[[#This Row],[Unit Price (₹)]]</f>
        <v>270200</v>
      </c>
      <c r="O323">
        <f>MAX(0,Table1[[#This Row],[Reorder Level]]-Table1[[#This Row],[Quantity]])</f>
        <v>0</v>
      </c>
      <c r="P323">
        <f>MAX(0,Table1[[#This Row],[Quantity]]-Table1[[#This Row],[Reorder Level]])</f>
        <v>155</v>
      </c>
      <c r="Q323">
        <f>Table1[[#This Row],[Above Reorder QTY]]*Table1[[#This Row],[Unit Price (₹)]]</f>
        <v>217000</v>
      </c>
    </row>
    <row r="324" spans="1:17" x14ac:dyDescent="0.25">
      <c r="A324" s="3">
        <v>45978</v>
      </c>
      <c r="B324" t="s">
        <v>40</v>
      </c>
      <c r="C324" t="s">
        <v>31</v>
      </c>
      <c r="D324" t="s">
        <v>32</v>
      </c>
      <c r="E324" t="s">
        <v>35</v>
      </c>
      <c r="F324">
        <v>177</v>
      </c>
      <c r="G324">
        <v>17</v>
      </c>
      <c r="H324" t="s">
        <v>21</v>
      </c>
      <c r="I324">
        <v>1400</v>
      </c>
      <c r="J324">
        <v>21717.91</v>
      </c>
      <c r="K324">
        <v>22</v>
      </c>
      <c r="L324">
        <v>32601.67</v>
      </c>
      <c r="M324" t="s">
        <v>68</v>
      </c>
      <c r="N324">
        <f>Table1[[#This Row],[Quantity]]*Table1[[#This Row],[Unit Price (₹)]]</f>
        <v>247800</v>
      </c>
      <c r="O324">
        <f>MAX(0,Table1[[#This Row],[Reorder Level]]-Table1[[#This Row],[Quantity]])</f>
        <v>0</v>
      </c>
      <c r="P324">
        <f>MAX(0,Table1[[#This Row],[Quantity]]-Table1[[#This Row],[Reorder Level]])</f>
        <v>160</v>
      </c>
      <c r="Q324">
        <f>Table1[[#This Row],[Above Reorder QTY]]*Table1[[#This Row],[Unit Price (₹)]]</f>
        <v>224000</v>
      </c>
    </row>
    <row r="325" spans="1:17" x14ac:dyDescent="0.25">
      <c r="A325" s="3">
        <v>45979</v>
      </c>
      <c r="B325" t="s">
        <v>43</v>
      </c>
      <c r="C325" t="s">
        <v>24</v>
      </c>
      <c r="D325" t="s">
        <v>32</v>
      </c>
      <c r="E325" t="s">
        <v>26</v>
      </c>
      <c r="F325">
        <v>49</v>
      </c>
      <c r="G325">
        <v>27</v>
      </c>
      <c r="H325" t="s">
        <v>21</v>
      </c>
      <c r="I325">
        <v>2200</v>
      </c>
      <c r="J325">
        <v>20972.34</v>
      </c>
      <c r="K325">
        <v>4</v>
      </c>
      <c r="L325">
        <v>9378.98</v>
      </c>
      <c r="M325" t="s">
        <v>68</v>
      </c>
      <c r="N325">
        <f>Table1[[#This Row],[Quantity]]*Table1[[#This Row],[Unit Price (₹)]]</f>
        <v>107800</v>
      </c>
      <c r="O325">
        <f>MAX(0,Table1[[#This Row],[Reorder Level]]-Table1[[#This Row],[Quantity]])</f>
        <v>0</v>
      </c>
      <c r="P325">
        <f>MAX(0,Table1[[#This Row],[Quantity]]-Table1[[#This Row],[Reorder Level]])</f>
        <v>22</v>
      </c>
      <c r="Q325">
        <f>Table1[[#This Row],[Above Reorder QTY]]*Table1[[#This Row],[Unit Price (₹)]]</f>
        <v>48400</v>
      </c>
    </row>
    <row r="326" spans="1:17" x14ac:dyDescent="0.25">
      <c r="A326" s="3">
        <v>45980</v>
      </c>
      <c r="B326" t="s">
        <v>38</v>
      </c>
      <c r="C326" t="s">
        <v>18</v>
      </c>
      <c r="D326" t="s">
        <v>32</v>
      </c>
      <c r="E326" t="s">
        <v>20</v>
      </c>
      <c r="F326">
        <v>202</v>
      </c>
      <c r="G326">
        <v>43</v>
      </c>
      <c r="H326" t="s">
        <v>21</v>
      </c>
      <c r="I326">
        <v>4500</v>
      </c>
      <c r="J326">
        <v>50203.06</v>
      </c>
      <c r="K326">
        <v>40</v>
      </c>
      <c r="L326">
        <v>175448.4</v>
      </c>
      <c r="M326" t="s">
        <v>68</v>
      </c>
      <c r="N326">
        <f>Table1[[#This Row],[Quantity]]*Table1[[#This Row],[Unit Price (₹)]]</f>
        <v>909000</v>
      </c>
      <c r="O326">
        <f>MAX(0,Table1[[#This Row],[Reorder Level]]-Table1[[#This Row],[Quantity]])</f>
        <v>0</v>
      </c>
      <c r="P326">
        <f>MAX(0,Table1[[#This Row],[Quantity]]-Table1[[#This Row],[Reorder Level]])</f>
        <v>159</v>
      </c>
      <c r="Q326">
        <f>Table1[[#This Row],[Above Reorder QTY]]*Table1[[#This Row],[Unit Price (₹)]]</f>
        <v>715500</v>
      </c>
    </row>
    <row r="327" spans="1:17" x14ac:dyDescent="0.25">
      <c r="A327" s="3">
        <v>45981</v>
      </c>
      <c r="B327" t="s">
        <v>30</v>
      </c>
      <c r="C327" t="s">
        <v>31</v>
      </c>
      <c r="D327" t="s">
        <v>41</v>
      </c>
      <c r="E327" t="s">
        <v>26</v>
      </c>
      <c r="F327">
        <v>205</v>
      </c>
      <c r="G327">
        <v>32</v>
      </c>
      <c r="H327" t="s">
        <v>21</v>
      </c>
      <c r="I327">
        <v>1100</v>
      </c>
      <c r="J327">
        <v>46352.95</v>
      </c>
      <c r="K327">
        <v>39</v>
      </c>
      <c r="L327">
        <v>45116.68</v>
      </c>
      <c r="M327" t="s">
        <v>68</v>
      </c>
      <c r="N327">
        <f>Table1[[#This Row],[Quantity]]*Table1[[#This Row],[Unit Price (₹)]]</f>
        <v>225500</v>
      </c>
      <c r="O327">
        <f>MAX(0,Table1[[#This Row],[Reorder Level]]-Table1[[#This Row],[Quantity]])</f>
        <v>0</v>
      </c>
      <c r="P327">
        <f>MAX(0,Table1[[#This Row],[Quantity]]-Table1[[#This Row],[Reorder Level]])</f>
        <v>173</v>
      </c>
      <c r="Q327">
        <f>Table1[[#This Row],[Above Reorder QTY]]*Table1[[#This Row],[Unit Price (₹)]]</f>
        <v>190300</v>
      </c>
    </row>
    <row r="328" spans="1:17" x14ac:dyDescent="0.25">
      <c r="A328" s="3">
        <v>45982</v>
      </c>
      <c r="B328" t="s">
        <v>38</v>
      </c>
      <c r="C328" t="s">
        <v>18</v>
      </c>
      <c r="D328" t="s">
        <v>19</v>
      </c>
      <c r="E328" t="s">
        <v>45</v>
      </c>
      <c r="F328">
        <v>75</v>
      </c>
      <c r="G328">
        <v>44</v>
      </c>
      <c r="H328" t="s">
        <v>21</v>
      </c>
      <c r="I328">
        <v>4500</v>
      </c>
      <c r="J328">
        <v>78283.19</v>
      </c>
      <c r="K328">
        <v>1</v>
      </c>
      <c r="L328">
        <v>4512.24</v>
      </c>
      <c r="M328" t="s">
        <v>68</v>
      </c>
      <c r="N328">
        <f>Table1[[#This Row],[Quantity]]*Table1[[#This Row],[Unit Price (₹)]]</f>
        <v>337500</v>
      </c>
      <c r="O328">
        <f>MAX(0,Table1[[#This Row],[Reorder Level]]-Table1[[#This Row],[Quantity]])</f>
        <v>0</v>
      </c>
      <c r="P328">
        <f>MAX(0,Table1[[#This Row],[Quantity]]-Table1[[#This Row],[Reorder Level]])</f>
        <v>31</v>
      </c>
      <c r="Q328">
        <f>Table1[[#This Row],[Above Reorder QTY]]*Table1[[#This Row],[Unit Price (₹)]]</f>
        <v>139500</v>
      </c>
    </row>
    <row r="329" spans="1:17" x14ac:dyDescent="0.25">
      <c r="A329" s="3">
        <v>45983</v>
      </c>
      <c r="B329" t="s">
        <v>48</v>
      </c>
      <c r="C329" t="s">
        <v>28</v>
      </c>
      <c r="D329" t="s">
        <v>41</v>
      </c>
      <c r="E329" t="s">
        <v>26</v>
      </c>
      <c r="F329">
        <v>149</v>
      </c>
      <c r="G329">
        <v>49</v>
      </c>
      <c r="H329" t="s">
        <v>21</v>
      </c>
      <c r="I329">
        <v>45</v>
      </c>
      <c r="J329">
        <v>1476.71</v>
      </c>
      <c r="K329">
        <v>12</v>
      </c>
      <c r="L329">
        <v>589.25</v>
      </c>
      <c r="M329" t="s">
        <v>68</v>
      </c>
      <c r="N329">
        <f>Table1[[#This Row],[Quantity]]*Table1[[#This Row],[Unit Price (₹)]]</f>
        <v>6705</v>
      </c>
      <c r="O329">
        <f>MAX(0,Table1[[#This Row],[Reorder Level]]-Table1[[#This Row],[Quantity]])</f>
        <v>0</v>
      </c>
      <c r="P329">
        <f>MAX(0,Table1[[#This Row],[Quantity]]-Table1[[#This Row],[Reorder Level]])</f>
        <v>100</v>
      </c>
      <c r="Q329">
        <f>Table1[[#This Row],[Above Reorder QTY]]*Table1[[#This Row],[Unit Price (₹)]]</f>
        <v>4500</v>
      </c>
    </row>
    <row r="330" spans="1:17" x14ac:dyDescent="0.25">
      <c r="A330" s="3">
        <v>45984</v>
      </c>
      <c r="B330" t="s">
        <v>23</v>
      </c>
      <c r="C330" t="s">
        <v>24</v>
      </c>
      <c r="D330" t="s">
        <v>41</v>
      </c>
      <c r="E330" t="s">
        <v>33</v>
      </c>
      <c r="F330">
        <v>116</v>
      </c>
      <c r="G330">
        <v>48</v>
      </c>
      <c r="H330" t="s">
        <v>21</v>
      </c>
      <c r="I330">
        <v>2800</v>
      </c>
      <c r="J330">
        <v>13133.16</v>
      </c>
      <c r="K330">
        <v>29</v>
      </c>
      <c r="L330">
        <v>81333.66</v>
      </c>
      <c r="M330" t="s">
        <v>68</v>
      </c>
      <c r="N330">
        <f>Table1[[#This Row],[Quantity]]*Table1[[#This Row],[Unit Price (₹)]]</f>
        <v>324800</v>
      </c>
      <c r="O330">
        <f>MAX(0,Table1[[#This Row],[Reorder Level]]-Table1[[#This Row],[Quantity]])</f>
        <v>0</v>
      </c>
      <c r="P330">
        <f>MAX(0,Table1[[#This Row],[Quantity]]-Table1[[#This Row],[Reorder Level]])</f>
        <v>68</v>
      </c>
      <c r="Q330">
        <f>Table1[[#This Row],[Above Reorder QTY]]*Table1[[#This Row],[Unit Price (₹)]]</f>
        <v>190400</v>
      </c>
    </row>
    <row r="331" spans="1:17" x14ac:dyDescent="0.25">
      <c r="A331" s="3">
        <v>45985</v>
      </c>
      <c r="B331" t="s">
        <v>51</v>
      </c>
      <c r="C331" t="s">
        <v>18</v>
      </c>
      <c r="D331" t="s">
        <v>32</v>
      </c>
      <c r="E331" t="s">
        <v>37</v>
      </c>
      <c r="F331">
        <v>97</v>
      </c>
      <c r="G331">
        <v>14</v>
      </c>
      <c r="H331" t="s">
        <v>21</v>
      </c>
      <c r="I331">
        <v>450</v>
      </c>
      <c r="J331">
        <v>9710.23</v>
      </c>
      <c r="K331">
        <v>12</v>
      </c>
      <c r="L331">
        <v>5316.32</v>
      </c>
      <c r="M331" t="s">
        <v>68</v>
      </c>
      <c r="N331">
        <f>Table1[[#This Row],[Quantity]]*Table1[[#This Row],[Unit Price (₹)]]</f>
        <v>43650</v>
      </c>
      <c r="O331">
        <f>MAX(0,Table1[[#This Row],[Reorder Level]]-Table1[[#This Row],[Quantity]])</f>
        <v>0</v>
      </c>
      <c r="P331">
        <f>MAX(0,Table1[[#This Row],[Quantity]]-Table1[[#This Row],[Reorder Level]])</f>
        <v>83</v>
      </c>
      <c r="Q331">
        <f>Table1[[#This Row],[Above Reorder QTY]]*Table1[[#This Row],[Unit Price (₹)]]</f>
        <v>37350</v>
      </c>
    </row>
    <row r="332" spans="1:17" x14ac:dyDescent="0.25">
      <c r="A332" s="3">
        <v>45986</v>
      </c>
      <c r="B332" t="s">
        <v>57</v>
      </c>
      <c r="C332" t="s">
        <v>24</v>
      </c>
      <c r="D332" t="s">
        <v>25</v>
      </c>
      <c r="E332" t="s">
        <v>37</v>
      </c>
      <c r="F332">
        <v>140</v>
      </c>
      <c r="G332">
        <v>22</v>
      </c>
      <c r="H332" t="s">
        <v>21</v>
      </c>
      <c r="I332">
        <v>1200</v>
      </c>
      <c r="J332">
        <v>2099.2399999999998</v>
      </c>
      <c r="K332">
        <v>19</v>
      </c>
      <c r="L332">
        <v>26085.73</v>
      </c>
      <c r="M332" t="s">
        <v>68</v>
      </c>
      <c r="N332">
        <f>Table1[[#This Row],[Quantity]]*Table1[[#This Row],[Unit Price (₹)]]</f>
        <v>168000</v>
      </c>
      <c r="O332">
        <f>MAX(0,Table1[[#This Row],[Reorder Level]]-Table1[[#This Row],[Quantity]])</f>
        <v>0</v>
      </c>
      <c r="P332">
        <f>MAX(0,Table1[[#This Row],[Quantity]]-Table1[[#This Row],[Reorder Level]])</f>
        <v>118</v>
      </c>
      <c r="Q332">
        <f>Table1[[#This Row],[Above Reorder QTY]]*Table1[[#This Row],[Unit Price (₹)]]</f>
        <v>141600</v>
      </c>
    </row>
    <row r="333" spans="1:17" x14ac:dyDescent="0.25">
      <c r="A333" s="3">
        <v>45987</v>
      </c>
      <c r="B333" t="s">
        <v>27</v>
      </c>
      <c r="C333" t="s">
        <v>28</v>
      </c>
      <c r="D333" t="s">
        <v>19</v>
      </c>
      <c r="E333" t="s">
        <v>35</v>
      </c>
      <c r="F333">
        <v>226</v>
      </c>
      <c r="G333">
        <v>17</v>
      </c>
      <c r="H333" t="s">
        <v>21</v>
      </c>
      <c r="I333">
        <v>18</v>
      </c>
      <c r="J333">
        <v>1008.2</v>
      </c>
      <c r="K333">
        <v>44</v>
      </c>
      <c r="L333">
        <v>882.38</v>
      </c>
      <c r="M333" t="s">
        <v>68</v>
      </c>
      <c r="N333">
        <f>Table1[[#This Row],[Quantity]]*Table1[[#This Row],[Unit Price (₹)]]</f>
        <v>4068</v>
      </c>
      <c r="O333">
        <f>MAX(0,Table1[[#This Row],[Reorder Level]]-Table1[[#This Row],[Quantity]])</f>
        <v>0</v>
      </c>
      <c r="P333">
        <f>MAX(0,Table1[[#This Row],[Quantity]]-Table1[[#This Row],[Reorder Level]])</f>
        <v>209</v>
      </c>
      <c r="Q333">
        <f>Table1[[#This Row],[Above Reorder QTY]]*Table1[[#This Row],[Unit Price (₹)]]</f>
        <v>3762</v>
      </c>
    </row>
    <row r="334" spans="1:17" x14ac:dyDescent="0.25">
      <c r="A334" s="3">
        <v>45988</v>
      </c>
      <c r="B334" t="s">
        <v>61</v>
      </c>
      <c r="C334" t="s">
        <v>50</v>
      </c>
      <c r="D334" t="s">
        <v>32</v>
      </c>
      <c r="E334" t="s">
        <v>35</v>
      </c>
      <c r="F334">
        <v>155</v>
      </c>
      <c r="G334">
        <v>41</v>
      </c>
      <c r="H334" t="s">
        <v>21</v>
      </c>
      <c r="I334">
        <v>900</v>
      </c>
      <c r="J334">
        <v>26768.639999999999</v>
      </c>
      <c r="K334">
        <v>32</v>
      </c>
      <c r="L334">
        <v>30966.34</v>
      </c>
      <c r="M334" t="s">
        <v>68</v>
      </c>
      <c r="N334">
        <f>Table1[[#This Row],[Quantity]]*Table1[[#This Row],[Unit Price (₹)]]</f>
        <v>139500</v>
      </c>
      <c r="O334">
        <f>MAX(0,Table1[[#This Row],[Reorder Level]]-Table1[[#This Row],[Quantity]])</f>
        <v>0</v>
      </c>
      <c r="P334">
        <f>MAX(0,Table1[[#This Row],[Quantity]]-Table1[[#This Row],[Reorder Level]])</f>
        <v>114</v>
      </c>
      <c r="Q334">
        <f>Table1[[#This Row],[Above Reorder QTY]]*Table1[[#This Row],[Unit Price (₹)]]</f>
        <v>102600</v>
      </c>
    </row>
    <row r="335" spans="1:17" x14ac:dyDescent="0.25">
      <c r="A335" s="3">
        <v>45989</v>
      </c>
      <c r="B335" t="s">
        <v>61</v>
      </c>
      <c r="C335" t="s">
        <v>50</v>
      </c>
      <c r="D335" t="s">
        <v>25</v>
      </c>
      <c r="E335" t="s">
        <v>29</v>
      </c>
      <c r="F335">
        <v>224</v>
      </c>
      <c r="G335">
        <v>23</v>
      </c>
      <c r="H335" t="s">
        <v>21</v>
      </c>
      <c r="I335">
        <v>900</v>
      </c>
      <c r="J335">
        <v>15819.16</v>
      </c>
      <c r="K335">
        <v>19</v>
      </c>
      <c r="L335">
        <v>18470.47</v>
      </c>
      <c r="M335" t="s">
        <v>68</v>
      </c>
      <c r="N335">
        <f>Table1[[#This Row],[Quantity]]*Table1[[#This Row],[Unit Price (₹)]]</f>
        <v>201600</v>
      </c>
      <c r="O335">
        <f>MAX(0,Table1[[#This Row],[Reorder Level]]-Table1[[#This Row],[Quantity]])</f>
        <v>0</v>
      </c>
      <c r="P335">
        <f>MAX(0,Table1[[#This Row],[Quantity]]-Table1[[#This Row],[Reorder Level]])</f>
        <v>201</v>
      </c>
      <c r="Q335">
        <f>Table1[[#This Row],[Above Reorder QTY]]*Table1[[#This Row],[Unit Price (₹)]]</f>
        <v>180900</v>
      </c>
    </row>
    <row r="336" spans="1:17" x14ac:dyDescent="0.25">
      <c r="A336" s="3">
        <v>45990</v>
      </c>
      <c r="B336" t="s">
        <v>38</v>
      </c>
      <c r="C336" t="s">
        <v>18</v>
      </c>
      <c r="D336" t="s">
        <v>25</v>
      </c>
      <c r="E336" t="s">
        <v>37</v>
      </c>
      <c r="F336">
        <v>27</v>
      </c>
      <c r="G336">
        <v>18</v>
      </c>
      <c r="H336" t="s">
        <v>21</v>
      </c>
      <c r="I336">
        <v>4500</v>
      </c>
      <c r="J336">
        <v>12471.15</v>
      </c>
      <c r="K336">
        <v>3</v>
      </c>
      <c r="L336">
        <v>14665.72</v>
      </c>
      <c r="M336" t="s">
        <v>68</v>
      </c>
      <c r="N336">
        <f>Table1[[#This Row],[Quantity]]*Table1[[#This Row],[Unit Price (₹)]]</f>
        <v>121500</v>
      </c>
      <c r="O336">
        <f>MAX(0,Table1[[#This Row],[Reorder Level]]-Table1[[#This Row],[Quantity]])</f>
        <v>0</v>
      </c>
      <c r="P336">
        <f>MAX(0,Table1[[#This Row],[Quantity]]-Table1[[#This Row],[Reorder Level]])</f>
        <v>9</v>
      </c>
      <c r="Q336">
        <f>Table1[[#This Row],[Above Reorder QTY]]*Table1[[#This Row],[Unit Price (₹)]]</f>
        <v>40500</v>
      </c>
    </row>
    <row r="337" spans="1:17" x14ac:dyDescent="0.25">
      <c r="A337" s="3">
        <v>45991</v>
      </c>
      <c r="B337" t="s">
        <v>61</v>
      </c>
      <c r="C337" t="s">
        <v>50</v>
      </c>
      <c r="D337" t="s">
        <v>32</v>
      </c>
      <c r="E337" t="s">
        <v>35</v>
      </c>
      <c r="F337">
        <v>40</v>
      </c>
      <c r="G337">
        <v>24</v>
      </c>
      <c r="H337" t="s">
        <v>21</v>
      </c>
      <c r="I337">
        <v>900</v>
      </c>
      <c r="J337">
        <v>9526.52</v>
      </c>
      <c r="K337">
        <v>10</v>
      </c>
      <c r="L337">
        <v>8946.2000000000007</v>
      </c>
      <c r="M337" t="s">
        <v>68</v>
      </c>
      <c r="N337">
        <f>Table1[[#This Row],[Quantity]]*Table1[[#This Row],[Unit Price (₹)]]</f>
        <v>36000</v>
      </c>
      <c r="O337">
        <f>MAX(0,Table1[[#This Row],[Reorder Level]]-Table1[[#This Row],[Quantity]])</f>
        <v>0</v>
      </c>
      <c r="P337">
        <f>MAX(0,Table1[[#This Row],[Quantity]]-Table1[[#This Row],[Reorder Level]])</f>
        <v>16</v>
      </c>
      <c r="Q337">
        <f>Table1[[#This Row],[Above Reorder QTY]]*Table1[[#This Row],[Unit Price (₹)]]</f>
        <v>14400</v>
      </c>
    </row>
    <row r="338" spans="1:17" x14ac:dyDescent="0.25">
      <c r="A338" s="3">
        <v>45992</v>
      </c>
      <c r="B338" t="s">
        <v>27</v>
      </c>
      <c r="C338" t="s">
        <v>28</v>
      </c>
      <c r="D338" t="s">
        <v>32</v>
      </c>
      <c r="E338" t="s">
        <v>26</v>
      </c>
      <c r="F338">
        <v>136</v>
      </c>
      <c r="G338">
        <v>34</v>
      </c>
      <c r="H338" t="s">
        <v>21</v>
      </c>
      <c r="I338">
        <v>18</v>
      </c>
      <c r="J338">
        <v>72.52</v>
      </c>
      <c r="K338">
        <v>18</v>
      </c>
      <c r="L338">
        <v>319.27</v>
      </c>
      <c r="M338" t="s">
        <v>69</v>
      </c>
      <c r="N338">
        <f>Table1[[#This Row],[Quantity]]*Table1[[#This Row],[Unit Price (₹)]]</f>
        <v>2448</v>
      </c>
      <c r="O338">
        <f>MAX(0,Table1[[#This Row],[Reorder Level]]-Table1[[#This Row],[Quantity]])</f>
        <v>0</v>
      </c>
      <c r="P338">
        <f>MAX(0,Table1[[#This Row],[Quantity]]-Table1[[#This Row],[Reorder Level]])</f>
        <v>102</v>
      </c>
      <c r="Q338">
        <f>Table1[[#This Row],[Above Reorder QTY]]*Table1[[#This Row],[Unit Price (₹)]]</f>
        <v>1836</v>
      </c>
    </row>
    <row r="339" spans="1:17" x14ac:dyDescent="0.25">
      <c r="A339" s="3">
        <v>45993</v>
      </c>
      <c r="B339" t="s">
        <v>43</v>
      </c>
      <c r="C339" t="s">
        <v>24</v>
      </c>
      <c r="D339" t="s">
        <v>32</v>
      </c>
      <c r="E339" t="s">
        <v>37</v>
      </c>
      <c r="F339">
        <v>70</v>
      </c>
      <c r="G339">
        <v>17</v>
      </c>
      <c r="H339" t="s">
        <v>21</v>
      </c>
      <c r="I339">
        <v>2200</v>
      </c>
      <c r="J339">
        <v>6870.7</v>
      </c>
      <c r="K339">
        <v>9</v>
      </c>
      <c r="L339">
        <v>22730.74</v>
      </c>
      <c r="M339" t="s">
        <v>69</v>
      </c>
      <c r="N339">
        <f>Table1[[#This Row],[Quantity]]*Table1[[#This Row],[Unit Price (₹)]]</f>
        <v>154000</v>
      </c>
      <c r="O339">
        <f>MAX(0,Table1[[#This Row],[Reorder Level]]-Table1[[#This Row],[Quantity]])</f>
        <v>0</v>
      </c>
      <c r="P339">
        <f>MAX(0,Table1[[#This Row],[Quantity]]-Table1[[#This Row],[Reorder Level]])</f>
        <v>53</v>
      </c>
      <c r="Q339">
        <f>Table1[[#This Row],[Above Reorder QTY]]*Table1[[#This Row],[Unit Price (₹)]]</f>
        <v>116600</v>
      </c>
    </row>
    <row r="340" spans="1:17" x14ac:dyDescent="0.25">
      <c r="A340" s="3">
        <v>45994</v>
      </c>
      <c r="B340" t="s">
        <v>39</v>
      </c>
      <c r="C340" t="s">
        <v>31</v>
      </c>
      <c r="D340" t="s">
        <v>32</v>
      </c>
      <c r="E340" t="s">
        <v>29</v>
      </c>
      <c r="F340">
        <v>18</v>
      </c>
      <c r="G340">
        <v>41</v>
      </c>
      <c r="H340" t="s">
        <v>47</v>
      </c>
      <c r="I340">
        <v>650</v>
      </c>
      <c r="J340">
        <v>3414.61</v>
      </c>
      <c r="K340">
        <v>3</v>
      </c>
      <c r="L340">
        <v>1983.11</v>
      </c>
      <c r="M340" t="s">
        <v>69</v>
      </c>
      <c r="N340">
        <f>Table1[[#This Row],[Quantity]]*Table1[[#This Row],[Unit Price (₹)]]</f>
        <v>11700</v>
      </c>
      <c r="O340">
        <f>MAX(0,Table1[[#This Row],[Reorder Level]]-Table1[[#This Row],[Quantity]])</f>
        <v>23</v>
      </c>
      <c r="P340">
        <f>MAX(0,Table1[[#This Row],[Quantity]]-Table1[[#This Row],[Reorder Level]])</f>
        <v>0</v>
      </c>
      <c r="Q340">
        <f>Table1[[#This Row],[Above Reorder QTY]]*Table1[[#This Row],[Unit Price (₹)]]</f>
        <v>0</v>
      </c>
    </row>
    <row r="341" spans="1:17" x14ac:dyDescent="0.25">
      <c r="A341" s="3">
        <v>45995</v>
      </c>
      <c r="B341" t="s">
        <v>36</v>
      </c>
      <c r="C341" t="s">
        <v>24</v>
      </c>
      <c r="D341" t="s">
        <v>19</v>
      </c>
      <c r="E341" t="s">
        <v>45</v>
      </c>
      <c r="F341">
        <v>72</v>
      </c>
      <c r="G341">
        <v>40</v>
      </c>
      <c r="H341" t="s">
        <v>21</v>
      </c>
      <c r="I341">
        <v>3500</v>
      </c>
      <c r="J341">
        <v>14691.86</v>
      </c>
      <c r="K341">
        <v>9</v>
      </c>
      <c r="L341">
        <v>30770.93</v>
      </c>
      <c r="M341" t="s">
        <v>69</v>
      </c>
      <c r="N341">
        <f>Table1[[#This Row],[Quantity]]*Table1[[#This Row],[Unit Price (₹)]]</f>
        <v>252000</v>
      </c>
      <c r="O341">
        <f>MAX(0,Table1[[#This Row],[Reorder Level]]-Table1[[#This Row],[Quantity]])</f>
        <v>0</v>
      </c>
      <c r="P341">
        <f>MAX(0,Table1[[#This Row],[Quantity]]-Table1[[#This Row],[Reorder Level]])</f>
        <v>32</v>
      </c>
      <c r="Q341">
        <f>Table1[[#This Row],[Above Reorder QTY]]*Table1[[#This Row],[Unit Price (₹)]]</f>
        <v>112000</v>
      </c>
    </row>
    <row r="342" spans="1:17" x14ac:dyDescent="0.25">
      <c r="A342" s="3">
        <v>45996</v>
      </c>
      <c r="B342" t="s">
        <v>58</v>
      </c>
      <c r="C342" t="s">
        <v>28</v>
      </c>
      <c r="D342" t="s">
        <v>44</v>
      </c>
      <c r="E342" t="s">
        <v>26</v>
      </c>
      <c r="F342">
        <v>128</v>
      </c>
      <c r="G342">
        <v>16</v>
      </c>
      <c r="H342" t="s">
        <v>21</v>
      </c>
      <c r="I342">
        <v>3000</v>
      </c>
      <c r="J342">
        <v>63383.62</v>
      </c>
      <c r="K342">
        <v>8</v>
      </c>
      <c r="L342">
        <v>26345.26</v>
      </c>
      <c r="M342" t="s">
        <v>69</v>
      </c>
      <c r="N342">
        <f>Table1[[#This Row],[Quantity]]*Table1[[#This Row],[Unit Price (₹)]]</f>
        <v>384000</v>
      </c>
      <c r="O342">
        <f>MAX(0,Table1[[#This Row],[Reorder Level]]-Table1[[#This Row],[Quantity]])</f>
        <v>0</v>
      </c>
      <c r="P342">
        <f>MAX(0,Table1[[#This Row],[Quantity]]-Table1[[#This Row],[Reorder Level]])</f>
        <v>112</v>
      </c>
      <c r="Q342">
        <f>Table1[[#This Row],[Above Reorder QTY]]*Table1[[#This Row],[Unit Price (₹)]]</f>
        <v>336000</v>
      </c>
    </row>
    <row r="343" spans="1:17" x14ac:dyDescent="0.25">
      <c r="A343" s="3">
        <v>45997</v>
      </c>
      <c r="B343" t="s">
        <v>53</v>
      </c>
      <c r="C343" t="s">
        <v>28</v>
      </c>
      <c r="D343" t="s">
        <v>32</v>
      </c>
      <c r="E343" t="s">
        <v>35</v>
      </c>
      <c r="F343">
        <v>66</v>
      </c>
      <c r="G343">
        <v>44</v>
      </c>
      <c r="H343" t="s">
        <v>21</v>
      </c>
      <c r="I343">
        <v>120</v>
      </c>
      <c r="J343">
        <v>389.11</v>
      </c>
      <c r="K343">
        <v>9</v>
      </c>
      <c r="L343">
        <v>1176.77</v>
      </c>
      <c r="M343" t="s">
        <v>69</v>
      </c>
      <c r="N343">
        <f>Table1[[#This Row],[Quantity]]*Table1[[#This Row],[Unit Price (₹)]]</f>
        <v>7920</v>
      </c>
      <c r="O343">
        <f>MAX(0,Table1[[#This Row],[Reorder Level]]-Table1[[#This Row],[Quantity]])</f>
        <v>0</v>
      </c>
      <c r="P343">
        <f>MAX(0,Table1[[#This Row],[Quantity]]-Table1[[#This Row],[Reorder Level]])</f>
        <v>22</v>
      </c>
      <c r="Q343">
        <f>Table1[[#This Row],[Above Reorder QTY]]*Table1[[#This Row],[Unit Price (₹)]]</f>
        <v>2640</v>
      </c>
    </row>
    <row r="344" spans="1:17" x14ac:dyDescent="0.25">
      <c r="A344" s="3">
        <v>45998</v>
      </c>
      <c r="B344" t="s">
        <v>58</v>
      </c>
      <c r="C344" t="s">
        <v>28</v>
      </c>
      <c r="D344" t="s">
        <v>25</v>
      </c>
      <c r="E344" t="s">
        <v>33</v>
      </c>
      <c r="F344">
        <v>86</v>
      </c>
      <c r="G344">
        <v>12</v>
      </c>
      <c r="H344" t="s">
        <v>21</v>
      </c>
      <c r="I344">
        <v>3000</v>
      </c>
      <c r="J344">
        <v>48005.8</v>
      </c>
      <c r="K344">
        <v>5</v>
      </c>
      <c r="L344">
        <v>16667.72</v>
      </c>
      <c r="M344" t="s">
        <v>69</v>
      </c>
      <c r="N344">
        <f>Table1[[#This Row],[Quantity]]*Table1[[#This Row],[Unit Price (₹)]]</f>
        <v>258000</v>
      </c>
      <c r="O344">
        <f>MAX(0,Table1[[#This Row],[Reorder Level]]-Table1[[#This Row],[Quantity]])</f>
        <v>0</v>
      </c>
      <c r="P344">
        <f>MAX(0,Table1[[#This Row],[Quantity]]-Table1[[#This Row],[Reorder Level]])</f>
        <v>74</v>
      </c>
      <c r="Q344">
        <f>Table1[[#This Row],[Above Reorder QTY]]*Table1[[#This Row],[Unit Price (₹)]]</f>
        <v>222000</v>
      </c>
    </row>
    <row r="345" spans="1:17" x14ac:dyDescent="0.25">
      <c r="A345" s="3">
        <v>45999</v>
      </c>
      <c r="B345" t="s">
        <v>27</v>
      </c>
      <c r="C345" t="s">
        <v>28</v>
      </c>
      <c r="D345" t="s">
        <v>32</v>
      </c>
      <c r="E345" t="s">
        <v>29</v>
      </c>
      <c r="F345">
        <v>221</v>
      </c>
      <c r="G345">
        <v>22</v>
      </c>
      <c r="H345" t="s">
        <v>21</v>
      </c>
      <c r="I345">
        <v>18</v>
      </c>
      <c r="J345">
        <v>307.33</v>
      </c>
      <c r="K345">
        <v>4</v>
      </c>
      <c r="L345">
        <v>79.52</v>
      </c>
      <c r="M345" t="s">
        <v>69</v>
      </c>
      <c r="N345">
        <f>Table1[[#This Row],[Quantity]]*Table1[[#This Row],[Unit Price (₹)]]</f>
        <v>3978</v>
      </c>
      <c r="O345">
        <f>MAX(0,Table1[[#This Row],[Reorder Level]]-Table1[[#This Row],[Quantity]])</f>
        <v>0</v>
      </c>
      <c r="P345">
        <f>MAX(0,Table1[[#This Row],[Quantity]]-Table1[[#This Row],[Reorder Level]])</f>
        <v>199</v>
      </c>
      <c r="Q345">
        <f>Table1[[#This Row],[Above Reorder QTY]]*Table1[[#This Row],[Unit Price (₹)]]</f>
        <v>3582</v>
      </c>
    </row>
    <row r="346" spans="1:17" x14ac:dyDescent="0.25">
      <c r="A346" s="3">
        <v>46000</v>
      </c>
      <c r="B346" t="s">
        <v>40</v>
      </c>
      <c r="C346" t="s">
        <v>31</v>
      </c>
      <c r="D346" t="s">
        <v>41</v>
      </c>
      <c r="E346" t="s">
        <v>20</v>
      </c>
      <c r="F346">
        <v>183</v>
      </c>
      <c r="G346">
        <v>25</v>
      </c>
      <c r="H346" t="s">
        <v>21</v>
      </c>
      <c r="I346">
        <v>1400</v>
      </c>
      <c r="J346">
        <v>55932.58</v>
      </c>
      <c r="K346">
        <v>22</v>
      </c>
      <c r="L346">
        <v>34437.129999999997</v>
      </c>
      <c r="M346" t="s">
        <v>69</v>
      </c>
      <c r="N346">
        <f>Table1[[#This Row],[Quantity]]*Table1[[#This Row],[Unit Price (₹)]]</f>
        <v>256200</v>
      </c>
      <c r="O346">
        <f>MAX(0,Table1[[#This Row],[Reorder Level]]-Table1[[#This Row],[Quantity]])</f>
        <v>0</v>
      </c>
      <c r="P346">
        <f>MAX(0,Table1[[#This Row],[Quantity]]-Table1[[#This Row],[Reorder Level]])</f>
        <v>158</v>
      </c>
      <c r="Q346">
        <f>Table1[[#This Row],[Above Reorder QTY]]*Table1[[#This Row],[Unit Price (₹)]]</f>
        <v>221200</v>
      </c>
    </row>
    <row r="347" spans="1:17" x14ac:dyDescent="0.25">
      <c r="A347" s="3">
        <v>46001</v>
      </c>
      <c r="B347" t="s">
        <v>53</v>
      </c>
      <c r="C347" t="s">
        <v>28</v>
      </c>
      <c r="D347" t="s">
        <v>32</v>
      </c>
      <c r="E347" t="s">
        <v>35</v>
      </c>
      <c r="F347">
        <v>111</v>
      </c>
      <c r="G347">
        <v>50</v>
      </c>
      <c r="H347" t="s">
        <v>21</v>
      </c>
      <c r="I347">
        <v>120</v>
      </c>
      <c r="J347">
        <v>1183.99</v>
      </c>
      <c r="K347">
        <v>11</v>
      </c>
      <c r="L347">
        <v>1372.95</v>
      </c>
      <c r="M347" t="s">
        <v>69</v>
      </c>
      <c r="N347">
        <f>Table1[[#This Row],[Quantity]]*Table1[[#This Row],[Unit Price (₹)]]</f>
        <v>13320</v>
      </c>
      <c r="O347">
        <f>MAX(0,Table1[[#This Row],[Reorder Level]]-Table1[[#This Row],[Quantity]])</f>
        <v>0</v>
      </c>
      <c r="P347">
        <f>MAX(0,Table1[[#This Row],[Quantity]]-Table1[[#This Row],[Reorder Level]])</f>
        <v>61</v>
      </c>
      <c r="Q347">
        <f>Table1[[#This Row],[Above Reorder QTY]]*Table1[[#This Row],[Unit Price (₹)]]</f>
        <v>7320</v>
      </c>
    </row>
    <row r="348" spans="1:17" x14ac:dyDescent="0.25">
      <c r="A348" s="3">
        <v>46002</v>
      </c>
      <c r="B348" t="s">
        <v>51</v>
      </c>
      <c r="C348" t="s">
        <v>18</v>
      </c>
      <c r="D348" t="s">
        <v>25</v>
      </c>
      <c r="E348" t="s">
        <v>35</v>
      </c>
      <c r="F348">
        <v>62</v>
      </c>
      <c r="G348">
        <v>48</v>
      </c>
      <c r="H348" t="s">
        <v>21</v>
      </c>
      <c r="I348">
        <v>450</v>
      </c>
      <c r="J348">
        <v>3409.44</v>
      </c>
      <c r="K348">
        <v>13</v>
      </c>
      <c r="L348">
        <v>6038.47</v>
      </c>
      <c r="M348" t="s">
        <v>69</v>
      </c>
      <c r="N348">
        <f>Table1[[#This Row],[Quantity]]*Table1[[#This Row],[Unit Price (₹)]]</f>
        <v>27900</v>
      </c>
      <c r="O348">
        <f>MAX(0,Table1[[#This Row],[Reorder Level]]-Table1[[#This Row],[Quantity]])</f>
        <v>0</v>
      </c>
      <c r="P348">
        <f>MAX(0,Table1[[#This Row],[Quantity]]-Table1[[#This Row],[Reorder Level]])</f>
        <v>14</v>
      </c>
      <c r="Q348">
        <f>Table1[[#This Row],[Above Reorder QTY]]*Table1[[#This Row],[Unit Price (₹)]]</f>
        <v>6300</v>
      </c>
    </row>
    <row r="349" spans="1:17" x14ac:dyDescent="0.25">
      <c r="A349" s="3">
        <v>46003</v>
      </c>
      <c r="B349" t="s">
        <v>53</v>
      </c>
      <c r="C349" t="s">
        <v>28</v>
      </c>
      <c r="D349" t="s">
        <v>19</v>
      </c>
      <c r="E349" t="s">
        <v>45</v>
      </c>
      <c r="F349">
        <v>141</v>
      </c>
      <c r="G349">
        <v>42</v>
      </c>
      <c r="H349" t="s">
        <v>21</v>
      </c>
      <c r="I349">
        <v>120</v>
      </c>
      <c r="J349">
        <v>4465.99</v>
      </c>
      <c r="K349">
        <v>29</v>
      </c>
      <c r="L349">
        <v>3514.48</v>
      </c>
      <c r="M349" t="s">
        <v>69</v>
      </c>
      <c r="N349">
        <f>Table1[[#This Row],[Quantity]]*Table1[[#This Row],[Unit Price (₹)]]</f>
        <v>16920</v>
      </c>
      <c r="O349">
        <f>MAX(0,Table1[[#This Row],[Reorder Level]]-Table1[[#This Row],[Quantity]])</f>
        <v>0</v>
      </c>
      <c r="P349">
        <f>MAX(0,Table1[[#This Row],[Quantity]]-Table1[[#This Row],[Reorder Level]])</f>
        <v>99</v>
      </c>
      <c r="Q349">
        <f>Table1[[#This Row],[Above Reorder QTY]]*Table1[[#This Row],[Unit Price (₹)]]</f>
        <v>11880</v>
      </c>
    </row>
    <row r="350" spans="1:17" x14ac:dyDescent="0.25">
      <c r="A350" s="3">
        <v>46004</v>
      </c>
      <c r="B350" t="s">
        <v>30</v>
      </c>
      <c r="C350" t="s">
        <v>31</v>
      </c>
      <c r="D350" t="s">
        <v>44</v>
      </c>
      <c r="E350" t="s">
        <v>45</v>
      </c>
      <c r="F350">
        <v>105</v>
      </c>
      <c r="G350">
        <v>16</v>
      </c>
      <c r="H350" t="s">
        <v>21</v>
      </c>
      <c r="I350">
        <v>1100</v>
      </c>
      <c r="J350">
        <v>18812.95</v>
      </c>
      <c r="K350">
        <v>8</v>
      </c>
      <c r="L350">
        <v>9345.15</v>
      </c>
      <c r="M350" t="s">
        <v>69</v>
      </c>
      <c r="N350">
        <f>Table1[[#This Row],[Quantity]]*Table1[[#This Row],[Unit Price (₹)]]</f>
        <v>115500</v>
      </c>
      <c r="O350">
        <f>MAX(0,Table1[[#This Row],[Reorder Level]]-Table1[[#This Row],[Quantity]])</f>
        <v>0</v>
      </c>
      <c r="P350">
        <f>MAX(0,Table1[[#This Row],[Quantity]]-Table1[[#This Row],[Reorder Level]])</f>
        <v>89</v>
      </c>
      <c r="Q350">
        <f>Table1[[#This Row],[Above Reorder QTY]]*Table1[[#This Row],[Unit Price (₹)]]</f>
        <v>97900</v>
      </c>
    </row>
    <row r="351" spans="1:17" x14ac:dyDescent="0.25">
      <c r="A351" s="3">
        <v>46005</v>
      </c>
      <c r="B351" t="s">
        <v>51</v>
      </c>
      <c r="C351" t="s">
        <v>18</v>
      </c>
      <c r="D351" t="s">
        <v>32</v>
      </c>
      <c r="E351" t="s">
        <v>20</v>
      </c>
      <c r="F351">
        <v>116</v>
      </c>
      <c r="G351">
        <v>32</v>
      </c>
      <c r="H351" t="s">
        <v>21</v>
      </c>
      <c r="I351">
        <v>450</v>
      </c>
      <c r="J351">
        <v>4484.6899999999996</v>
      </c>
      <c r="K351">
        <v>29</v>
      </c>
      <c r="L351">
        <v>12655.19</v>
      </c>
      <c r="M351" t="s">
        <v>69</v>
      </c>
      <c r="N351">
        <f>Table1[[#This Row],[Quantity]]*Table1[[#This Row],[Unit Price (₹)]]</f>
        <v>52200</v>
      </c>
      <c r="O351">
        <f>MAX(0,Table1[[#This Row],[Reorder Level]]-Table1[[#This Row],[Quantity]])</f>
        <v>0</v>
      </c>
      <c r="P351">
        <f>MAX(0,Table1[[#This Row],[Quantity]]-Table1[[#This Row],[Reorder Level]])</f>
        <v>84</v>
      </c>
      <c r="Q351">
        <f>Table1[[#This Row],[Above Reorder QTY]]*Table1[[#This Row],[Unit Price (₹)]]</f>
        <v>37800</v>
      </c>
    </row>
    <row r="352" spans="1:17" x14ac:dyDescent="0.25">
      <c r="A352" s="3">
        <v>46006</v>
      </c>
      <c r="B352" t="s">
        <v>23</v>
      </c>
      <c r="C352" t="s">
        <v>24</v>
      </c>
      <c r="D352" t="s">
        <v>19</v>
      </c>
      <c r="E352" t="s">
        <v>35</v>
      </c>
      <c r="F352">
        <v>93</v>
      </c>
      <c r="G352">
        <v>48</v>
      </c>
      <c r="H352" t="s">
        <v>21</v>
      </c>
      <c r="I352">
        <v>2800</v>
      </c>
      <c r="J352">
        <v>73480.88</v>
      </c>
      <c r="K352">
        <v>11</v>
      </c>
      <c r="L352">
        <v>29654.28</v>
      </c>
      <c r="M352" t="s">
        <v>69</v>
      </c>
      <c r="N352">
        <f>Table1[[#This Row],[Quantity]]*Table1[[#This Row],[Unit Price (₹)]]</f>
        <v>260400</v>
      </c>
      <c r="O352">
        <f>MAX(0,Table1[[#This Row],[Reorder Level]]-Table1[[#This Row],[Quantity]])</f>
        <v>0</v>
      </c>
      <c r="P352">
        <f>MAX(0,Table1[[#This Row],[Quantity]]-Table1[[#This Row],[Reorder Level]])</f>
        <v>45</v>
      </c>
      <c r="Q352">
        <f>Table1[[#This Row],[Above Reorder QTY]]*Table1[[#This Row],[Unit Price (₹)]]</f>
        <v>126000</v>
      </c>
    </row>
    <row r="353" spans="1:17" x14ac:dyDescent="0.25">
      <c r="A353" s="3">
        <v>46007</v>
      </c>
      <c r="B353" t="s">
        <v>46</v>
      </c>
      <c r="C353" t="s">
        <v>18</v>
      </c>
      <c r="D353" t="s">
        <v>44</v>
      </c>
      <c r="E353" t="s">
        <v>33</v>
      </c>
      <c r="F353">
        <v>176</v>
      </c>
      <c r="G353">
        <v>39</v>
      </c>
      <c r="H353" t="s">
        <v>21</v>
      </c>
      <c r="I353">
        <v>6000</v>
      </c>
      <c r="J353">
        <v>252363.77</v>
      </c>
      <c r="K353">
        <v>12</v>
      </c>
      <c r="L353">
        <v>80970.42</v>
      </c>
      <c r="M353" t="s">
        <v>69</v>
      </c>
      <c r="N353">
        <f>Table1[[#This Row],[Quantity]]*Table1[[#This Row],[Unit Price (₹)]]</f>
        <v>1056000</v>
      </c>
      <c r="O353">
        <f>MAX(0,Table1[[#This Row],[Reorder Level]]-Table1[[#This Row],[Quantity]])</f>
        <v>0</v>
      </c>
      <c r="P353">
        <f>MAX(0,Table1[[#This Row],[Quantity]]-Table1[[#This Row],[Reorder Level]])</f>
        <v>137</v>
      </c>
      <c r="Q353">
        <f>Table1[[#This Row],[Above Reorder QTY]]*Table1[[#This Row],[Unit Price (₹)]]</f>
        <v>822000</v>
      </c>
    </row>
    <row r="354" spans="1:17" x14ac:dyDescent="0.25">
      <c r="A354" s="3">
        <v>46008</v>
      </c>
      <c r="B354" t="s">
        <v>39</v>
      </c>
      <c r="C354" t="s">
        <v>31</v>
      </c>
      <c r="D354" t="s">
        <v>44</v>
      </c>
      <c r="E354" t="s">
        <v>29</v>
      </c>
      <c r="F354">
        <v>191</v>
      </c>
      <c r="G354">
        <v>40</v>
      </c>
      <c r="H354" t="s">
        <v>21</v>
      </c>
      <c r="I354">
        <v>650</v>
      </c>
      <c r="J354">
        <v>26962.82</v>
      </c>
      <c r="K354">
        <v>9</v>
      </c>
      <c r="L354">
        <v>6516.44</v>
      </c>
      <c r="M354" t="s">
        <v>69</v>
      </c>
      <c r="N354">
        <f>Table1[[#This Row],[Quantity]]*Table1[[#This Row],[Unit Price (₹)]]</f>
        <v>124150</v>
      </c>
      <c r="O354">
        <f>MAX(0,Table1[[#This Row],[Reorder Level]]-Table1[[#This Row],[Quantity]])</f>
        <v>0</v>
      </c>
      <c r="P354">
        <f>MAX(0,Table1[[#This Row],[Quantity]]-Table1[[#This Row],[Reorder Level]])</f>
        <v>151</v>
      </c>
      <c r="Q354">
        <f>Table1[[#This Row],[Above Reorder QTY]]*Table1[[#This Row],[Unit Price (₹)]]</f>
        <v>98150</v>
      </c>
    </row>
    <row r="355" spans="1:17" x14ac:dyDescent="0.25">
      <c r="A355" s="3">
        <v>46009</v>
      </c>
      <c r="B355" t="s">
        <v>27</v>
      </c>
      <c r="C355" t="s">
        <v>28</v>
      </c>
      <c r="D355" t="s">
        <v>32</v>
      </c>
      <c r="E355" t="s">
        <v>20</v>
      </c>
      <c r="F355">
        <v>239</v>
      </c>
      <c r="G355">
        <v>21</v>
      </c>
      <c r="H355" t="s">
        <v>21</v>
      </c>
      <c r="I355">
        <v>18</v>
      </c>
      <c r="J355">
        <v>966.86</v>
      </c>
      <c r="K355">
        <v>47</v>
      </c>
      <c r="L355">
        <v>836.6</v>
      </c>
      <c r="M355" t="s">
        <v>69</v>
      </c>
      <c r="N355">
        <f>Table1[[#This Row],[Quantity]]*Table1[[#This Row],[Unit Price (₹)]]</f>
        <v>4302</v>
      </c>
      <c r="O355">
        <f>MAX(0,Table1[[#This Row],[Reorder Level]]-Table1[[#This Row],[Quantity]])</f>
        <v>0</v>
      </c>
      <c r="P355">
        <f>MAX(0,Table1[[#This Row],[Quantity]]-Table1[[#This Row],[Reorder Level]])</f>
        <v>218</v>
      </c>
      <c r="Q355">
        <f>Table1[[#This Row],[Above Reorder QTY]]*Table1[[#This Row],[Unit Price (₹)]]</f>
        <v>3924</v>
      </c>
    </row>
    <row r="356" spans="1:17" x14ac:dyDescent="0.25">
      <c r="A356" s="3">
        <v>46010</v>
      </c>
      <c r="B356" t="s">
        <v>58</v>
      </c>
      <c r="C356" t="s">
        <v>28</v>
      </c>
      <c r="D356" t="s">
        <v>19</v>
      </c>
      <c r="E356" t="s">
        <v>20</v>
      </c>
      <c r="F356">
        <v>23</v>
      </c>
      <c r="G356">
        <v>21</v>
      </c>
      <c r="H356" t="s">
        <v>21</v>
      </c>
      <c r="I356">
        <v>3000</v>
      </c>
      <c r="J356">
        <v>16486.52</v>
      </c>
      <c r="K356">
        <v>5</v>
      </c>
      <c r="L356">
        <v>14371.68</v>
      </c>
      <c r="M356" t="s">
        <v>69</v>
      </c>
      <c r="N356">
        <f>Table1[[#This Row],[Quantity]]*Table1[[#This Row],[Unit Price (₹)]]</f>
        <v>69000</v>
      </c>
      <c r="O356">
        <f>MAX(0,Table1[[#This Row],[Reorder Level]]-Table1[[#This Row],[Quantity]])</f>
        <v>0</v>
      </c>
      <c r="P356">
        <f>MAX(0,Table1[[#This Row],[Quantity]]-Table1[[#This Row],[Reorder Level]])</f>
        <v>2</v>
      </c>
      <c r="Q356">
        <f>Table1[[#This Row],[Above Reorder QTY]]*Table1[[#This Row],[Unit Price (₹)]]</f>
        <v>6000</v>
      </c>
    </row>
    <row r="357" spans="1:17" x14ac:dyDescent="0.25">
      <c r="A357" s="3">
        <v>46011</v>
      </c>
      <c r="B357" t="s">
        <v>40</v>
      </c>
      <c r="C357" t="s">
        <v>31</v>
      </c>
      <c r="D357" t="s">
        <v>32</v>
      </c>
      <c r="E357" t="s">
        <v>37</v>
      </c>
      <c r="F357">
        <v>120</v>
      </c>
      <c r="G357">
        <v>46</v>
      </c>
      <c r="H357" t="s">
        <v>21</v>
      </c>
      <c r="I357">
        <v>1400</v>
      </c>
      <c r="J357">
        <v>30437.55</v>
      </c>
      <c r="K357">
        <v>21</v>
      </c>
      <c r="L357">
        <v>30931.87</v>
      </c>
      <c r="M357" t="s">
        <v>69</v>
      </c>
      <c r="N357">
        <f>Table1[[#This Row],[Quantity]]*Table1[[#This Row],[Unit Price (₹)]]</f>
        <v>168000</v>
      </c>
      <c r="O357">
        <f>MAX(0,Table1[[#This Row],[Reorder Level]]-Table1[[#This Row],[Quantity]])</f>
        <v>0</v>
      </c>
      <c r="P357">
        <f>MAX(0,Table1[[#This Row],[Quantity]]-Table1[[#This Row],[Reorder Level]])</f>
        <v>74</v>
      </c>
      <c r="Q357">
        <f>Table1[[#This Row],[Above Reorder QTY]]*Table1[[#This Row],[Unit Price (₹)]]</f>
        <v>103600</v>
      </c>
    </row>
    <row r="358" spans="1:17" x14ac:dyDescent="0.25">
      <c r="A358" s="3">
        <v>46012</v>
      </c>
      <c r="B358" t="s">
        <v>56</v>
      </c>
      <c r="C358" t="s">
        <v>28</v>
      </c>
      <c r="D358" t="s">
        <v>32</v>
      </c>
      <c r="E358" t="s">
        <v>29</v>
      </c>
      <c r="F358">
        <v>211</v>
      </c>
      <c r="G358">
        <v>13</v>
      </c>
      <c r="H358" t="s">
        <v>21</v>
      </c>
      <c r="I358">
        <v>1200</v>
      </c>
      <c r="J358">
        <v>60722.239999999998</v>
      </c>
      <c r="K358">
        <v>20</v>
      </c>
      <c r="L358">
        <v>25635.919999999998</v>
      </c>
      <c r="M358" t="s">
        <v>69</v>
      </c>
      <c r="N358">
        <f>Table1[[#This Row],[Quantity]]*Table1[[#This Row],[Unit Price (₹)]]</f>
        <v>253200</v>
      </c>
      <c r="O358">
        <f>MAX(0,Table1[[#This Row],[Reorder Level]]-Table1[[#This Row],[Quantity]])</f>
        <v>0</v>
      </c>
      <c r="P358">
        <f>MAX(0,Table1[[#This Row],[Quantity]]-Table1[[#This Row],[Reorder Level]])</f>
        <v>198</v>
      </c>
      <c r="Q358">
        <f>Table1[[#This Row],[Above Reorder QTY]]*Table1[[#This Row],[Unit Price (₹)]]</f>
        <v>237600</v>
      </c>
    </row>
    <row r="359" spans="1:17" x14ac:dyDescent="0.25">
      <c r="A359" s="3">
        <v>46013</v>
      </c>
      <c r="B359" t="s">
        <v>58</v>
      </c>
      <c r="C359" t="s">
        <v>28</v>
      </c>
      <c r="D359" t="s">
        <v>32</v>
      </c>
      <c r="E359" t="s">
        <v>35</v>
      </c>
      <c r="F359">
        <v>55</v>
      </c>
      <c r="G359">
        <v>17</v>
      </c>
      <c r="H359" t="s">
        <v>21</v>
      </c>
      <c r="I359">
        <v>3000</v>
      </c>
      <c r="J359">
        <v>48394.41</v>
      </c>
      <c r="K359">
        <v>1</v>
      </c>
      <c r="L359">
        <v>3131.97</v>
      </c>
      <c r="M359" t="s">
        <v>69</v>
      </c>
      <c r="N359">
        <f>Table1[[#This Row],[Quantity]]*Table1[[#This Row],[Unit Price (₹)]]</f>
        <v>165000</v>
      </c>
      <c r="O359">
        <f>MAX(0,Table1[[#This Row],[Reorder Level]]-Table1[[#This Row],[Quantity]])</f>
        <v>0</v>
      </c>
      <c r="P359">
        <f>MAX(0,Table1[[#This Row],[Quantity]]-Table1[[#This Row],[Reorder Level]])</f>
        <v>38</v>
      </c>
      <c r="Q359">
        <f>Table1[[#This Row],[Above Reorder QTY]]*Table1[[#This Row],[Unit Price (₹)]]</f>
        <v>114000</v>
      </c>
    </row>
    <row r="360" spans="1:17" x14ac:dyDescent="0.25">
      <c r="A360" s="3">
        <v>46014</v>
      </c>
      <c r="B360" t="s">
        <v>17</v>
      </c>
      <c r="C360" t="s">
        <v>18</v>
      </c>
      <c r="D360" t="s">
        <v>41</v>
      </c>
      <c r="E360" t="s">
        <v>37</v>
      </c>
      <c r="F360">
        <v>150</v>
      </c>
      <c r="G360">
        <v>45</v>
      </c>
      <c r="H360" t="s">
        <v>21</v>
      </c>
      <c r="I360">
        <v>250</v>
      </c>
      <c r="J360">
        <v>9800.51</v>
      </c>
      <c r="K360">
        <v>6</v>
      </c>
      <c r="L360">
        <v>1496.17</v>
      </c>
      <c r="M360" t="s">
        <v>69</v>
      </c>
      <c r="N360">
        <f>Table1[[#This Row],[Quantity]]*Table1[[#This Row],[Unit Price (₹)]]</f>
        <v>37500</v>
      </c>
      <c r="O360">
        <f>MAX(0,Table1[[#This Row],[Reorder Level]]-Table1[[#This Row],[Quantity]])</f>
        <v>0</v>
      </c>
      <c r="P360">
        <f>MAX(0,Table1[[#This Row],[Quantity]]-Table1[[#This Row],[Reorder Level]])</f>
        <v>105</v>
      </c>
      <c r="Q360">
        <f>Table1[[#This Row],[Above Reorder QTY]]*Table1[[#This Row],[Unit Price (₹)]]</f>
        <v>26250</v>
      </c>
    </row>
    <row r="361" spans="1:17" x14ac:dyDescent="0.25">
      <c r="A361" s="3">
        <v>46015</v>
      </c>
      <c r="B361" t="s">
        <v>61</v>
      </c>
      <c r="C361" t="s">
        <v>50</v>
      </c>
      <c r="D361" t="s">
        <v>41</v>
      </c>
      <c r="E361" t="s">
        <v>29</v>
      </c>
      <c r="F361">
        <v>232</v>
      </c>
      <c r="G361">
        <v>20</v>
      </c>
      <c r="H361" t="s">
        <v>21</v>
      </c>
      <c r="I361">
        <v>900</v>
      </c>
      <c r="J361">
        <v>6299.51</v>
      </c>
      <c r="K361">
        <v>40</v>
      </c>
      <c r="L361">
        <v>36949.96</v>
      </c>
      <c r="M361" t="s">
        <v>69</v>
      </c>
      <c r="N361">
        <f>Table1[[#This Row],[Quantity]]*Table1[[#This Row],[Unit Price (₹)]]</f>
        <v>208800</v>
      </c>
      <c r="O361">
        <f>MAX(0,Table1[[#This Row],[Reorder Level]]-Table1[[#This Row],[Quantity]])</f>
        <v>0</v>
      </c>
      <c r="P361">
        <f>MAX(0,Table1[[#This Row],[Quantity]]-Table1[[#This Row],[Reorder Level]])</f>
        <v>212</v>
      </c>
      <c r="Q361">
        <f>Table1[[#This Row],[Above Reorder QTY]]*Table1[[#This Row],[Unit Price (₹)]]</f>
        <v>190800</v>
      </c>
    </row>
    <row r="362" spans="1:17" x14ac:dyDescent="0.25">
      <c r="A362" s="3">
        <v>46016</v>
      </c>
      <c r="B362" t="s">
        <v>46</v>
      </c>
      <c r="C362" t="s">
        <v>18</v>
      </c>
      <c r="D362" t="s">
        <v>19</v>
      </c>
      <c r="E362" t="s">
        <v>33</v>
      </c>
      <c r="F362">
        <v>230</v>
      </c>
      <c r="G362">
        <v>22</v>
      </c>
      <c r="H362" t="s">
        <v>21</v>
      </c>
      <c r="I362">
        <v>6000</v>
      </c>
      <c r="J362">
        <v>73085.539999999994</v>
      </c>
      <c r="K362">
        <v>38</v>
      </c>
      <c r="L362">
        <v>234800.14</v>
      </c>
      <c r="M362" t="s">
        <v>69</v>
      </c>
      <c r="N362">
        <f>Table1[[#This Row],[Quantity]]*Table1[[#This Row],[Unit Price (₹)]]</f>
        <v>1380000</v>
      </c>
      <c r="O362">
        <f>MAX(0,Table1[[#This Row],[Reorder Level]]-Table1[[#This Row],[Quantity]])</f>
        <v>0</v>
      </c>
      <c r="P362">
        <f>MAX(0,Table1[[#This Row],[Quantity]]-Table1[[#This Row],[Reorder Level]])</f>
        <v>208</v>
      </c>
      <c r="Q362">
        <f>Table1[[#This Row],[Above Reorder QTY]]*Table1[[#This Row],[Unit Price (₹)]]</f>
        <v>1248000</v>
      </c>
    </row>
    <row r="363" spans="1:17" x14ac:dyDescent="0.25">
      <c r="A363" s="3">
        <v>46017</v>
      </c>
      <c r="B363" t="s">
        <v>48</v>
      </c>
      <c r="C363" t="s">
        <v>28</v>
      </c>
      <c r="D363" t="s">
        <v>42</v>
      </c>
      <c r="E363" t="s">
        <v>29</v>
      </c>
      <c r="F363">
        <v>17</v>
      </c>
      <c r="G363">
        <v>20</v>
      </c>
      <c r="H363" t="s">
        <v>47</v>
      </c>
      <c r="I363">
        <v>45</v>
      </c>
      <c r="J363">
        <v>154.58000000000001</v>
      </c>
      <c r="K363">
        <v>2</v>
      </c>
      <c r="L363">
        <v>91.59</v>
      </c>
      <c r="M363" t="s">
        <v>69</v>
      </c>
      <c r="N363">
        <f>Table1[[#This Row],[Quantity]]*Table1[[#This Row],[Unit Price (₹)]]</f>
        <v>765</v>
      </c>
      <c r="O363">
        <f>MAX(0,Table1[[#This Row],[Reorder Level]]-Table1[[#This Row],[Quantity]])</f>
        <v>3</v>
      </c>
      <c r="P363">
        <f>MAX(0,Table1[[#This Row],[Quantity]]-Table1[[#This Row],[Reorder Level]])</f>
        <v>0</v>
      </c>
      <c r="Q363">
        <f>Table1[[#This Row],[Above Reorder QTY]]*Table1[[#This Row],[Unit Price (₹)]]</f>
        <v>0</v>
      </c>
    </row>
    <row r="364" spans="1:17" x14ac:dyDescent="0.25">
      <c r="A364" s="3">
        <v>46018</v>
      </c>
      <c r="B364" t="s">
        <v>56</v>
      </c>
      <c r="C364" t="s">
        <v>28</v>
      </c>
      <c r="D364" t="s">
        <v>32</v>
      </c>
      <c r="E364" t="s">
        <v>26</v>
      </c>
      <c r="F364">
        <v>55</v>
      </c>
      <c r="G364">
        <v>18</v>
      </c>
      <c r="H364" t="s">
        <v>21</v>
      </c>
      <c r="I364">
        <v>1200</v>
      </c>
      <c r="J364">
        <v>12476.76</v>
      </c>
      <c r="K364">
        <v>10</v>
      </c>
      <c r="L364">
        <v>13776.5</v>
      </c>
      <c r="M364" t="s">
        <v>69</v>
      </c>
      <c r="N364">
        <f>Table1[[#This Row],[Quantity]]*Table1[[#This Row],[Unit Price (₹)]]</f>
        <v>66000</v>
      </c>
      <c r="O364">
        <f>MAX(0,Table1[[#This Row],[Reorder Level]]-Table1[[#This Row],[Quantity]])</f>
        <v>0</v>
      </c>
      <c r="P364">
        <f>MAX(0,Table1[[#This Row],[Quantity]]-Table1[[#This Row],[Reorder Level]])</f>
        <v>37</v>
      </c>
      <c r="Q364">
        <f>Table1[[#This Row],[Above Reorder QTY]]*Table1[[#This Row],[Unit Price (₹)]]</f>
        <v>44400</v>
      </c>
    </row>
    <row r="365" spans="1:17" x14ac:dyDescent="0.25">
      <c r="A365" s="3">
        <v>46019</v>
      </c>
      <c r="B365" t="s">
        <v>17</v>
      </c>
      <c r="C365" t="s">
        <v>18</v>
      </c>
      <c r="D365" t="s">
        <v>44</v>
      </c>
      <c r="E365" t="s">
        <v>29</v>
      </c>
      <c r="F365">
        <v>42</v>
      </c>
      <c r="G365">
        <v>12</v>
      </c>
      <c r="H365" t="s">
        <v>21</v>
      </c>
      <c r="I365">
        <v>250</v>
      </c>
      <c r="J365">
        <v>3280.07</v>
      </c>
      <c r="K365">
        <v>10</v>
      </c>
      <c r="L365">
        <v>2492</v>
      </c>
      <c r="M365" t="s">
        <v>69</v>
      </c>
      <c r="N365">
        <f>Table1[[#This Row],[Quantity]]*Table1[[#This Row],[Unit Price (₹)]]</f>
        <v>10500</v>
      </c>
      <c r="O365">
        <f>MAX(0,Table1[[#This Row],[Reorder Level]]-Table1[[#This Row],[Quantity]])</f>
        <v>0</v>
      </c>
      <c r="P365">
        <f>MAX(0,Table1[[#This Row],[Quantity]]-Table1[[#This Row],[Reorder Level]])</f>
        <v>30</v>
      </c>
      <c r="Q365">
        <f>Table1[[#This Row],[Above Reorder QTY]]*Table1[[#This Row],[Unit Price (₹)]]</f>
        <v>7500</v>
      </c>
    </row>
    <row r="366" spans="1:17" x14ac:dyDescent="0.25">
      <c r="A366" s="3">
        <v>46020</v>
      </c>
      <c r="B366" t="s">
        <v>61</v>
      </c>
      <c r="C366" t="s">
        <v>50</v>
      </c>
      <c r="D366" t="s">
        <v>41</v>
      </c>
      <c r="E366" t="s">
        <v>20</v>
      </c>
      <c r="F366">
        <v>77</v>
      </c>
      <c r="G366">
        <v>29</v>
      </c>
      <c r="H366" t="s">
        <v>21</v>
      </c>
      <c r="I366">
        <v>900</v>
      </c>
      <c r="J366">
        <v>6792.16</v>
      </c>
      <c r="K366">
        <v>1</v>
      </c>
      <c r="L366">
        <v>986.8</v>
      </c>
      <c r="M366" t="s">
        <v>69</v>
      </c>
      <c r="N366">
        <f>Table1[[#This Row],[Quantity]]*Table1[[#This Row],[Unit Price (₹)]]</f>
        <v>69300</v>
      </c>
      <c r="O366">
        <f>MAX(0,Table1[[#This Row],[Reorder Level]]-Table1[[#This Row],[Quantity]])</f>
        <v>0</v>
      </c>
      <c r="P366">
        <f>MAX(0,Table1[[#This Row],[Quantity]]-Table1[[#This Row],[Reorder Level]])</f>
        <v>48</v>
      </c>
      <c r="Q366">
        <f>Table1[[#This Row],[Above Reorder QTY]]*Table1[[#This Row],[Unit Price (₹)]]</f>
        <v>43200</v>
      </c>
    </row>
    <row r="367" spans="1:17" x14ac:dyDescent="0.25">
      <c r="A367" s="3">
        <v>46021</v>
      </c>
      <c r="B367" t="s">
        <v>17</v>
      </c>
      <c r="C367" t="s">
        <v>18</v>
      </c>
      <c r="D367" t="s">
        <v>32</v>
      </c>
      <c r="E367" t="s">
        <v>33</v>
      </c>
      <c r="F367">
        <v>54</v>
      </c>
      <c r="G367">
        <v>21</v>
      </c>
      <c r="H367" t="s">
        <v>21</v>
      </c>
      <c r="I367">
        <v>250</v>
      </c>
      <c r="J367">
        <v>762.2</v>
      </c>
      <c r="K367">
        <v>12</v>
      </c>
      <c r="L367">
        <v>3022.7</v>
      </c>
      <c r="M367" t="s">
        <v>69</v>
      </c>
      <c r="N367">
        <f>Table1[[#This Row],[Quantity]]*Table1[[#This Row],[Unit Price (₹)]]</f>
        <v>13500</v>
      </c>
      <c r="O367">
        <f>MAX(0,Table1[[#This Row],[Reorder Level]]-Table1[[#This Row],[Quantity]])</f>
        <v>0</v>
      </c>
      <c r="P367">
        <f>MAX(0,Table1[[#This Row],[Quantity]]-Table1[[#This Row],[Reorder Level]])</f>
        <v>33</v>
      </c>
      <c r="Q367">
        <f>Table1[[#This Row],[Above Reorder QTY]]*Table1[[#This Row],[Unit Price (₹)]]</f>
        <v>8250</v>
      </c>
    </row>
    <row r="368" spans="1:17" x14ac:dyDescent="0.25">
      <c r="A368" s="3">
        <v>46022</v>
      </c>
      <c r="B368" t="s">
        <v>58</v>
      </c>
      <c r="C368" t="s">
        <v>28</v>
      </c>
      <c r="D368" t="s">
        <v>25</v>
      </c>
      <c r="E368" t="s">
        <v>29</v>
      </c>
      <c r="F368">
        <v>155</v>
      </c>
      <c r="G368">
        <v>26</v>
      </c>
      <c r="H368" t="s">
        <v>21</v>
      </c>
      <c r="I368">
        <v>3000</v>
      </c>
      <c r="J368">
        <v>109089.3</v>
      </c>
      <c r="K368">
        <v>36</v>
      </c>
      <c r="L368">
        <v>107176.93</v>
      </c>
      <c r="M368" t="s">
        <v>69</v>
      </c>
      <c r="N368">
        <f>Table1[[#This Row],[Quantity]]*Table1[[#This Row],[Unit Price (₹)]]</f>
        <v>465000</v>
      </c>
      <c r="O368">
        <f>MAX(0,Table1[[#This Row],[Reorder Level]]-Table1[[#This Row],[Quantity]])</f>
        <v>0</v>
      </c>
      <c r="P368">
        <f>MAX(0,Table1[[#This Row],[Quantity]]-Table1[[#This Row],[Reorder Level]])</f>
        <v>129</v>
      </c>
      <c r="Q368">
        <f>Table1[[#This Row],[Above Reorder QTY]]*Table1[[#This Row],[Unit Price (₹)]]</f>
        <v>387000</v>
      </c>
    </row>
    <row r="369" spans="1:17" x14ac:dyDescent="0.25">
      <c r="A369" s="3">
        <v>46023</v>
      </c>
      <c r="B369" t="s">
        <v>49</v>
      </c>
      <c r="C369" t="s">
        <v>50</v>
      </c>
      <c r="D369" t="s">
        <v>32</v>
      </c>
      <c r="E369" t="s">
        <v>29</v>
      </c>
      <c r="F369">
        <v>8</v>
      </c>
      <c r="G369">
        <v>39</v>
      </c>
      <c r="H369" t="s">
        <v>47</v>
      </c>
      <c r="I369">
        <v>850</v>
      </c>
      <c r="J369">
        <v>1313.09</v>
      </c>
      <c r="K369">
        <v>2</v>
      </c>
      <c r="L369">
        <v>1750.27</v>
      </c>
      <c r="M369" t="s">
        <v>22</v>
      </c>
      <c r="N369">
        <f>Table1[[#This Row],[Quantity]]*Table1[[#This Row],[Unit Price (₹)]]</f>
        <v>6800</v>
      </c>
      <c r="O369">
        <f>MAX(0,Table1[[#This Row],[Reorder Level]]-Table1[[#This Row],[Quantity]])</f>
        <v>31</v>
      </c>
      <c r="P369">
        <f>MAX(0,Table1[[#This Row],[Quantity]]-Table1[[#This Row],[Reorder Level]])</f>
        <v>0</v>
      </c>
      <c r="Q369">
        <f>Table1[[#This Row],[Above Reorder QTY]]*Table1[[#This Row],[Unit Price (₹)]]</f>
        <v>0</v>
      </c>
    </row>
    <row r="370" spans="1:17" x14ac:dyDescent="0.25">
      <c r="A370" s="3">
        <v>46024</v>
      </c>
      <c r="B370" t="s">
        <v>39</v>
      </c>
      <c r="C370" t="s">
        <v>31</v>
      </c>
      <c r="D370" t="s">
        <v>25</v>
      </c>
      <c r="E370" t="s">
        <v>20</v>
      </c>
      <c r="F370">
        <v>82</v>
      </c>
      <c r="G370">
        <v>50</v>
      </c>
      <c r="H370" t="s">
        <v>21</v>
      </c>
      <c r="I370">
        <v>650</v>
      </c>
      <c r="J370">
        <v>9549.8799999999992</v>
      </c>
      <c r="K370">
        <v>19</v>
      </c>
      <c r="L370">
        <v>13624.44</v>
      </c>
      <c r="M370" t="s">
        <v>22</v>
      </c>
      <c r="N370">
        <f>Table1[[#This Row],[Quantity]]*Table1[[#This Row],[Unit Price (₹)]]</f>
        <v>53300</v>
      </c>
      <c r="O370">
        <f>MAX(0,Table1[[#This Row],[Reorder Level]]-Table1[[#This Row],[Quantity]])</f>
        <v>0</v>
      </c>
      <c r="P370">
        <f>MAX(0,Table1[[#This Row],[Quantity]]-Table1[[#This Row],[Reorder Level]])</f>
        <v>32</v>
      </c>
      <c r="Q370">
        <f>Table1[[#This Row],[Above Reorder QTY]]*Table1[[#This Row],[Unit Price (₹)]]</f>
        <v>20800</v>
      </c>
    </row>
    <row r="371" spans="1:17" x14ac:dyDescent="0.25">
      <c r="A371" s="3">
        <v>46025</v>
      </c>
      <c r="B371" t="s">
        <v>61</v>
      </c>
      <c r="C371" t="s">
        <v>50</v>
      </c>
      <c r="D371" t="s">
        <v>41</v>
      </c>
      <c r="E371" t="s">
        <v>20</v>
      </c>
      <c r="F371">
        <v>9</v>
      </c>
      <c r="G371">
        <v>35</v>
      </c>
      <c r="H371" t="s">
        <v>47</v>
      </c>
      <c r="I371">
        <v>900</v>
      </c>
      <c r="J371">
        <v>1659.84</v>
      </c>
      <c r="K371">
        <v>1</v>
      </c>
      <c r="L371">
        <v>980.08</v>
      </c>
      <c r="M371" t="s">
        <v>22</v>
      </c>
      <c r="N371">
        <f>Table1[[#This Row],[Quantity]]*Table1[[#This Row],[Unit Price (₹)]]</f>
        <v>8100</v>
      </c>
      <c r="O371">
        <f>MAX(0,Table1[[#This Row],[Reorder Level]]-Table1[[#This Row],[Quantity]])</f>
        <v>26</v>
      </c>
      <c r="P371">
        <f>MAX(0,Table1[[#This Row],[Quantity]]-Table1[[#This Row],[Reorder Level]])</f>
        <v>0</v>
      </c>
      <c r="Q371">
        <f>Table1[[#This Row],[Above Reorder QTY]]*Table1[[#This Row],[Unit Price (₹)]]</f>
        <v>0</v>
      </c>
    </row>
    <row r="372" spans="1:17" x14ac:dyDescent="0.25">
      <c r="A372" s="3">
        <v>46026</v>
      </c>
      <c r="B372" t="s">
        <v>48</v>
      </c>
      <c r="C372" t="s">
        <v>28</v>
      </c>
      <c r="D372" t="s">
        <v>25</v>
      </c>
      <c r="E372" t="s">
        <v>37</v>
      </c>
      <c r="F372">
        <v>187</v>
      </c>
      <c r="G372">
        <v>22</v>
      </c>
      <c r="H372" t="s">
        <v>21</v>
      </c>
      <c r="I372">
        <v>45</v>
      </c>
      <c r="J372">
        <v>2130.5</v>
      </c>
      <c r="K372">
        <v>18</v>
      </c>
      <c r="L372">
        <v>817.74</v>
      </c>
      <c r="M372" t="s">
        <v>22</v>
      </c>
      <c r="N372">
        <f>Table1[[#This Row],[Quantity]]*Table1[[#This Row],[Unit Price (₹)]]</f>
        <v>8415</v>
      </c>
      <c r="O372">
        <f>MAX(0,Table1[[#This Row],[Reorder Level]]-Table1[[#This Row],[Quantity]])</f>
        <v>0</v>
      </c>
      <c r="P372">
        <f>MAX(0,Table1[[#This Row],[Quantity]]-Table1[[#This Row],[Reorder Level]])</f>
        <v>165</v>
      </c>
      <c r="Q372">
        <f>Table1[[#This Row],[Above Reorder QTY]]*Table1[[#This Row],[Unit Price (₹)]]</f>
        <v>7425</v>
      </c>
    </row>
    <row r="373" spans="1:17" x14ac:dyDescent="0.25">
      <c r="A373" s="3">
        <v>46027</v>
      </c>
      <c r="B373" t="s">
        <v>48</v>
      </c>
      <c r="C373" t="s">
        <v>28</v>
      </c>
      <c r="D373" t="s">
        <v>32</v>
      </c>
      <c r="E373" t="s">
        <v>33</v>
      </c>
      <c r="F373">
        <v>237</v>
      </c>
      <c r="G373">
        <v>12</v>
      </c>
      <c r="H373" t="s">
        <v>21</v>
      </c>
      <c r="I373">
        <v>45</v>
      </c>
      <c r="J373">
        <v>40.61</v>
      </c>
      <c r="K373">
        <v>56</v>
      </c>
      <c r="L373">
        <v>2847.77</v>
      </c>
      <c r="M373" t="s">
        <v>22</v>
      </c>
      <c r="N373">
        <f>Table1[[#This Row],[Quantity]]*Table1[[#This Row],[Unit Price (₹)]]</f>
        <v>10665</v>
      </c>
      <c r="O373">
        <f>MAX(0,Table1[[#This Row],[Reorder Level]]-Table1[[#This Row],[Quantity]])</f>
        <v>0</v>
      </c>
      <c r="P373">
        <f>MAX(0,Table1[[#This Row],[Quantity]]-Table1[[#This Row],[Reorder Level]])</f>
        <v>225</v>
      </c>
      <c r="Q373">
        <f>Table1[[#This Row],[Above Reorder QTY]]*Table1[[#This Row],[Unit Price (₹)]]</f>
        <v>10125</v>
      </c>
    </row>
    <row r="374" spans="1:17" x14ac:dyDescent="0.25">
      <c r="A374" s="3">
        <v>46028</v>
      </c>
      <c r="B374" t="s">
        <v>38</v>
      </c>
      <c r="C374" t="s">
        <v>18</v>
      </c>
      <c r="D374" t="s">
        <v>25</v>
      </c>
      <c r="E374" t="s">
        <v>29</v>
      </c>
      <c r="F374">
        <v>94</v>
      </c>
      <c r="G374">
        <v>26</v>
      </c>
      <c r="H374" t="s">
        <v>21</v>
      </c>
      <c r="I374">
        <v>4500</v>
      </c>
      <c r="J374">
        <v>75308.31</v>
      </c>
      <c r="K374">
        <v>13</v>
      </c>
      <c r="L374">
        <v>62812.45</v>
      </c>
      <c r="M374" t="s">
        <v>22</v>
      </c>
      <c r="N374">
        <f>Table1[[#This Row],[Quantity]]*Table1[[#This Row],[Unit Price (₹)]]</f>
        <v>423000</v>
      </c>
      <c r="O374">
        <f>MAX(0,Table1[[#This Row],[Reorder Level]]-Table1[[#This Row],[Quantity]])</f>
        <v>0</v>
      </c>
      <c r="P374">
        <f>MAX(0,Table1[[#This Row],[Quantity]]-Table1[[#This Row],[Reorder Level]])</f>
        <v>68</v>
      </c>
      <c r="Q374">
        <f>Table1[[#This Row],[Above Reorder QTY]]*Table1[[#This Row],[Unit Price (₹)]]</f>
        <v>306000</v>
      </c>
    </row>
    <row r="375" spans="1:17" x14ac:dyDescent="0.25">
      <c r="A375" s="3">
        <v>46029</v>
      </c>
      <c r="B375" t="s">
        <v>38</v>
      </c>
      <c r="C375" t="s">
        <v>18</v>
      </c>
      <c r="D375" t="s">
        <v>32</v>
      </c>
      <c r="E375" t="s">
        <v>26</v>
      </c>
      <c r="F375">
        <v>136</v>
      </c>
      <c r="G375">
        <v>47</v>
      </c>
      <c r="H375" t="s">
        <v>21</v>
      </c>
      <c r="I375">
        <v>4500</v>
      </c>
      <c r="J375">
        <v>58756.73</v>
      </c>
      <c r="K375">
        <v>25</v>
      </c>
      <c r="L375">
        <v>111136.35</v>
      </c>
      <c r="M375" t="s">
        <v>22</v>
      </c>
      <c r="N375">
        <f>Table1[[#This Row],[Quantity]]*Table1[[#This Row],[Unit Price (₹)]]</f>
        <v>612000</v>
      </c>
      <c r="O375">
        <f>MAX(0,Table1[[#This Row],[Reorder Level]]-Table1[[#This Row],[Quantity]])</f>
        <v>0</v>
      </c>
      <c r="P375">
        <f>MAX(0,Table1[[#This Row],[Quantity]]-Table1[[#This Row],[Reorder Level]])</f>
        <v>89</v>
      </c>
      <c r="Q375">
        <f>Table1[[#This Row],[Above Reorder QTY]]*Table1[[#This Row],[Unit Price (₹)]]</f>
        <v>400500</v>
      </c>
    </row>
    <row r="376" spans="1:17" x14ac:dyDescent="0.25">
      <c r="A376" s="3">
        <v>46030</v>
      </c>
      <c r="B376" t="s">
        <v>58</v>
      </c>
      <c r="C376" t="s">
        <v>28</v>
      </c>
      <c r="D376" t="s">
        <v>32</v>
      </c>
      <c r="E376" t="s">
        <v>20</v>
      </c>
      <c r="F376">
        <v>119</v>
      </c>
      <c r="G376">
        <v>26</v>
      </c>
      <c r="H376" t="s">
        <v>21</v>
      </c>
      <c r="I376">
        <v>3000</v>
      </c>
      <c r="J376">
        <v>52003.78</v>
      </c>
      <c r="K376">
        <v>5</v>
      </c>
      <c r="L376">
        <v>16992.900000000001</v>
      </c>
      <c r="M376" t="s">
        <v>22</v>
      </c>
      <c r="N376">
        <f>Table1[[#This Row],[Quantity]]*Table1[[#This Row],[Unit Price (₹)]]</f>
        <v>357000</v>
      </c>
      <c r="O376">
        <f>MAX(0,Table1[[#This Row],[Reorder Level]]-Table1[[#This Row],[Quantity]])</f>
        <v>0</v>
      </c>
      <c r="P376">
        <f>MAX(0,Table1[[#This Row],[Quantity]]-Table1[[#This Row],[Reorder Level]])</f>
        <v>93</v>
      </c>
      <c r="Q376">
        <f>Table1[[#This Row],[Above Reorder QTY]]*Table1[[#This Row],[Unit Price (₹)]]</f>
        <v>279000</v>
      </c>
    </row>
    <row r="377" spans="1:17" x14ac:dyDescent="0.25">
      <c r="A377" s="3">
        <v>46031</v>
      </c>
      <c r="B377" t="s">
        <v>43</v>
      </c>
      <c r="C377" t="s">
        <v>24</v>
      </c>
      <c r="D377" t="s">
        <v>32</v>
      </c>
      <c r="E377" t="s">
        <v>45</v>
      </c>
      <c r="F377">
        <v>179</v>
      </c>
      <c r="G377">
        <v>21</v>
      </c>
      <c r="H377" t="s">
        <v>21</v>
      </c>
      <c r="I377">
        <v>2200</v>
      </c>
      <c r="J377">
        <v>75040.5</v>
      </c>
      <c r="K377">
        <v>1</v>
      </c>
      <c r="L377">
        <v>2520.42</v>
      </c>
      <c r="M377" t="s">
        <v>22</v>
      </c>
      <c r="N377">
        <f>Table1[[#This Row],[Quantity]]*Table1[[#This Row],[Unit Price (₹)]]</f>
        <v>393800</v>
      </c>
      <c r="O377">
        <f>MAX(0,Table1[[#This Row],[Reorder Level]]-Table1[[#This Row],[Quantity]])</f>
        <v>0</v>
      </c>
      <c r="P377">
        <f>MAX(0,Table1[[#This Row],[Quantity]]-Table1[[#This Row],[Reorder Level]])</f>
        <v>158</v>
      </c>
      <c r="Q377">
        <f>Table1[[#This Row],[Above Reorder QTY]]*Table1[[#This Row],[Unit Price (₹)]]</f>
        <v>347600</v>
      </c>
    </row>
    <row r="378" spans="1:17" x14ac:dyDescent="0.25">
      <c r="A378" s="3">
        <v>46032</v>
      </c>
      <c r="B378" t="s">
        <v>27</v>
      </c>
      <c r="C378" t="s">
        <v>28</v>
      </c>
      <c r="D378" t="s">
        <v>32</v>
      </c>
      <c r="E378" t="s">
        <v>35</v>
      </c>
      <c r="F378">
        <v>121</v>
      </c>
      <c r="G378">
        <v>22</v>
      </c>
      <c r="H378" t="s">
        <v>21</v>
      </c>
      <c r="I378">
        <v>18</v>
      </c>
      <c r="J378">
        <v>31.99</v>
      </c>
      <c r="K378">
        <v>30</v>
      </c>
      <c r="L378">
        <v>592.16999999999996</v>
      </c>
      <c r="M378" t="s">
        <v>22</v>
      </c>
      <c r="N378">
        <f>Table1[[#This Row],[Quantity]]*Table1[[#This Row],[Unit Price (₹)]]</f>
        <v>2178</v>
      </c>
      <c r="O378">
        <f>MAX(0,Table1[[#This Row],[Reorder Level]]-Table1[[#This Row],[Quantity]])</f>
        <v>0</v>
      </c>
      <c r="P378">
        <f>MAX(0,Table1[[#This Row],[Quantity]]-Table1[[#This Row],[Reorder Level]])</f>
        <v>99</v>
      </c>
      <c r="Q378">
        <f>Table1[[#This Row],[Above Reorder QTY]]*Table1[[#This Row],[Unit Price (₹)]]</f>
        <v>1782</v>
      </c>
    </row>
    <row r="379" spans="1:17" x14ac:dyDescent="0.25">
      <c r="A379" s="3">
        <v>46033</v>
      </c>
      <c r="B379" t="s">
        <v>39</v>
      </c>
      <c r="C379" t="s">
        <v>31</v>
      </c>
      <c r="D379" t="s">
        <v>42</v>
      </c>
      <c r="E379" t="s">
        <v>35</v>
      </c>
      <c r="F379">
        <v>179</v>
      </c>
      <c r="G379">
        <v>11</v>
      </c>
      <c r="H379" t="s">
        <v>21</v>
      </c>
      <c r="I379">
        <v>650</v>
      </c>
      <c r="J379">
        <v>10272.06</v>
      </c>
      <c r="K379">
        <v>34</v>
      </c>
      <c r="L379">
        <v>21107.200000000001</v>
      </c>
      <c r="M379" t="s">
        <v>22</v>
      </c>
      <c r="N379">
        <f>Table1[[#This Row],[Quantity]]*Table1[[#This Row],[Unit Price (₹)]]</f>
        <v>116350</v>
      </c>
      <c r="O379">
        <f>MAX(0,Table1[[#This Row],[Reorder Level]]-Table1[[#This Row],[Quantity]])</f>
        <v>0</v>
      </c>
      <c r="P379">
        <f>MAX(0,Table1[[#This Row],[Quantity]]-Table1[[#This Row],[Reorder Level]])</f>
        <v>168</v>
      </c>
      <c r="Q379">
        <f>Table1[[#This Row],[Above Reorder QTY]]*Table1[[#This Row],[Unit Price (₹)]]</f>
        <v>109200</v>
      </c>
    </row>
    <row r="380" spans="1:17" x14ac:dyDescent="0.25">
      <c r="A380" s="3">
        <v>46034</v>
      </c>
      <c r="B380" t="s">
        <v>58</v>
      </c>
      <c r="C380" t="s">
        <v>28</v>
      </c>
      <c r="D380" t="s">
        <v>32</v>
      </c>
      <c r="E380" t="s">
        <v>37</v>
      </c>
      <c r="F380">
        <v>67</v>
      </c>
      <c r="G380">
        <v>39</v>
      </c>
      <c r="H380" t="s">
        <v>21</v>
      </c>
      <c r="I380">
        <v>3000</v>
      </c>
      <c r="J380">
        <v>4810.07</v>
      </c>
      <c r="K380">
        <v>10</v>
      </c>
      <c r="L380">
        <v>33411.56</v>
      </c>
      <c r="M380" t="s">
        <v>22</v>
      </c>
      <c r="N380">
        <f>Table1[[#This Row],[Quantity]]*Table1[[#This Row],[Unit Price (₹)]]</f>
        <v>201000</v>
      </c>
      <c r="O380">
        <f>MAX(0,Table1[[#This Row],[Reorder Level]]-Table1[[#This Row],[Quantity]])</f>
        <v>0</v>
      </c>
      <c r="P380">
        <f>MAX(0,Table1[[#This Row],[Quantity]]-Table1[[#This Row],[Reorder Level]])</f>
        <v>28</v>
      </c>
      <c r="Q380">
        <f>Table1[[#This Row],[Above Reorder QTY]]*Table1[[#This Row],[Unit Price (₹)]]</f>
        <v>84000</v>
      </c>
    </row>
    <row r="381" spans="1:17" x14ac:dyDescent="0.25">
      <c r="A381" s="3">
        <v>46035</v>
      </c>
      <c r="B381" t="s">
        <v>54</v>
      </c>
      <c r="C381" t="s">
        <v>50</v>
      </c>
      <c r="D381" t="s">
        <v>32</v>
      </c>
      <c r="E381" t="s">
        <v>35</v>
      </c>
      <c r="F381">
        <v>224</v>
      </c>
      <c r="G381">
        <v>40</v>
      </c>
      <c r="H381" t="s">
        <v>21</v>
      </c>
      <c r="I381">
        <v>1500</v>
      </c>
      <c r="J381">
        <v>72589.759999999995</v>
      </c>
      <c r="K381">
        <v>45</v>
      </c>
      <c r="L381">
        <v>73760.039999999994</v>
      </c>
      <c r="M381" t="s">
        <v>22</v>
      </c>
      <c r="N381">
        <f>Table1[[#This Row],[Quantity]]*Table1[[#This Row],[Unit Price (₹)]]</f>
        <v>336000</v>
      </c>
      <c r="O381">
        <f>MAX(0,Table1[[#This Row],[Reorder Level]]-Table1[[#This Row],[Quantity]])</f>
        <v>0</v>
      </c>
      <c r="P381">
        <f>MAX(0,Table1[[#This Row],[Quantity]]-Table1[[#This Row],[Reorder Level]])</f>
        <v>184</v>
      </c>
      <c r="Q381">
        <f>Table1[[#This Row],[Above Reorder QTY]]*Table1[[#This Row],[Unit Price (₹)]]</f>
        <v>276000</v>
      </c>
    </row>
    <row r="382" spans="1:17" x14ac:dyDescent="0.25">
      <c r="A382" s="3">
        <v>46036</v>
      </c>
      <c r="B382" t="s">
        <v>61</v>
      </c>
      <c r="C382" t="s">
        <v>50</v>
      </c>
      <c r="D382" t="s">
        <v>42</v>
      </c>
      <c r="E382" t="s">
        <v>20</v>
      </c>
      <c r="F382">
        <v>167</v>
      </c>
      <c r="G382">
        <v>46</v>
      </c>
      <c r="H382" t="s">
        <v>21</v>
      </c>
      <c r="I382">
        <v>900</v>
      </c>
      <c r="J382">
        <v>9334.82</v>
      </c>
      <c r="K382">
        <v>36</v>
      </c>
      <c r="L382">
        <v>32929.129999999997</v>
      </c>
      <c r="M382" t="s">
        <v>22</v>
      </c>
      <c r="N382">
        <f>Table1[[#This Row],[Quantity]]*Table1[[#This Row],[Unit Price (₹)]]</f>
        <v>150300</v>
      </c>
      <c r="O382">
        <f>MAX(0,Table1[[#This Row],[Reorder Level]]-Table1[[#This Row],[Quantity]])</f>
        <v>0</v>
      </c>
      <c r="P382">
        <f>MAX(0,Table1[[#This Row],[Quantity]]-Table1[[#This Row],[Reorder Level]])</f>
        <v>121</v>
      </c>
      <c r="Q382">
        <f>Table1[[#This Row],[Above Reorder QTY]]*Table1[[#This Row],[Unit Price (₹)]]</f>
        <v>108900</v>
      </c>
    </row>
    <row r="383" spans="1:17" x14ac:dyDescent="0.25">
      <c r="A383" s="3">
        <v>46037</v>
      </c>
      <c r="B383" t="s">
        <v>53</v>
      </c>
      <c r="C383" t="s">
        <v>28</v>
      </c>
      <c r="D383" t="s">
        <v>32</v>
      </c>
      <c r="E383" t="s">
        <v>26</v>
      </c>
      <c r="F383">
        <v>187</v>
      </c>
      <c r="G383">
        <v>25</v>
      </c>
      <c r="H383" t="s">
        <v>21</v>
      </c>
      <c r="I383">
        <v>120</v>
      </c>
      <c r="J383">
        <v>1927.14</v>
      </c>
      <c r="K383">
        <v>31</v>
      </c>
      <c r="L383">
        <v>3879.96</v>
      </c>
      <c r="M383" t="s">
        <v>22</v>
      </c>
      <c r="N383">
        <f>Table1[[#This Row],[Quantity]]*Table1[[#This Row],[Unit Price (₹)]]</f>
        <v>22440</v>
      </c>
      <c r="O383">
        <f>MAX(0,Table1[[#This Row],[Reorder Level]]-Table1[[#This Row],[Quantity]])</f>
        <v>0</v>
      </c>
      <c r="P383">
        <f>MAX(0,Table1[[#This Row],[Quantity]]-Table1[[#This Row],[Reorder Level]])</f>
        <v>162</v>
      </c>
      <c r="Q383">
        <f>Table1[[#This Row],[Above Reorder QTY]]*Table1[[#This Row],[Unit Price (₹)]]</f>
        <v>19440</v>
      </c>
    </row>
    <row r="384" spans="1:17" x14ac:dyDescent="0.25">
      <c r="A384" s="3">
        <v>46038</v>
      </c>
      <c r="B384" t="s">
        <v>49</v>
      </c>
      <c r="C384" t="s">
        <v>50</v>
      </c>
      <c r="D384" t="s">
        <v>32</v>
      </c>
      <c r="E384" t="s">
        <v>35</v>
      </c>
      <c r="F384">
        <v>229</v>
      </c>
      <c r="G384">
        <v>18</v>
      </c>
      <c r="H384" t="s">
        <v>21</v>
      </c>
      <c r="I384">
        <v>850</v>
      </c>
      <c r="J384">
        <v>54228.56</v>
      </c>
      <c r="K384">
        <v>53</v>
      </c>
      <c r="L384">
        <v>43494.98</v>
      </c>
      <c r="M384" t="s">
        <v>22</v>
      </c>
      <c r="N384">
        <f>Table1[[#This Row],[Quantity]]*Table1[[#This Row],[Unit Price (₹)]]</f>
        <v>194650</v>
      </c>
      <c r="O384">
        <f>MAX(0,Table1[[#This Row],[Reorder Level]]-Table1[[#This Row],[Quantity]])</f>
        <v>0</v>
      </c>
      <c r="P384">
        <f>MAX(0,Table1[[#This Row],[Quantity]]-Table1[[#This Row],[Reorder Level]])</f>
        <v>211</v>
      </c>
      <c r="Q384">
        <f>Table1[[#This Row],[Above Reorder QTY]]*Table1[[#This Row],[Unit Price (₹)]]</f>
        <v>179350</v>
      </c>
    </row>
    <row r="385" spans="1:17" x14ac:dyDescent="0.25">
      <c r="A385" s="3">
        <v>46039</v>
      </c>
      <c r="B385" t="s">
        <v>17</v>
      </c>
      <c r="C385" t="s">
        <v>18</v>
      </c>
      <c r="D385" t="s">
        <v>25</v>
      </c>
      <c r="E385" t="s">
        <v>33</v>
      </c>
      <c r="F385">
        <v>168</v>
      </c>
      <c r="G385">
        <v>41</v>
      </c>
      <c r="H385" t="s">
        <v>21</v>
      </c>
      <c r="I385">
        <v>250</v>
      </c>
      <c r="J385">
        <v>5216.18</v>
      </c>
      <c r="K385">
        <v>16</v>
      </c>
      <c r="L385">
        <v>4436.46</v>
      </c>
      <c r="M385" t="s">
        <v>22</v>
      </c>
      <c r="N385">
        <f>Table1[[#This Row],[Quantity]]*Table1[[#This Row],[Unit Price (₹)]]</f>
        <v>42000</v>
      </c>
      <c r="O385">
        <f>MAX(0,Table1[[#This Row],[Reorder Level]]-Table1[[#This Row],[Quantity]])</f>
        <v>0</v>
      </c>
      <c r="P385">
        <f>MAX(0,Table1[[#This Row],[Quantity]]-Table1[[#This Row],[Reorder Level]])</f>
        <v>127</v>
      </c>
      <c r="Q385">
        <f>Table1[[#This Row],[Above Reorder QTY]]*Table1[[#This Row],[Unit Price (₹)]]</f>
        <v>31750</v>
      </c>
    </row>
    <row r="386" spans="1:17" x14ac:dyDescent="0.25">
      <c r="A386" s="3">
        <v>46040</v>
      </c>
      <c r="B386" t="s">
        <v>58</v>
      </c>
      <c r="C386" t="s">
        <v>28</v>
      </c>
      <c r="D386" t="s">
        <v>32</v>
      </c>
      <c r="E386" t="s">
        <v>29</v>
      </c>
      <c r="F386">
        <v>221</v>
      </c>
      <c r="G386">
        <v>12</v>
      </c>
      <c r="H386" t="s">
        <v>21</v>
      </c>
      <c r="I386">
        <v>3000</v>
      </c>
      <c r="J386">
        <v>30006.58</v>
      </c>
      <c r="K386">
        <v>38</v>
      </c>
      <c r="L386">
        <v>120773.04</v>
      </c>
      <c r="M386" t="s">
        <v>22</v>
      </c>
      <c r="N386">
        <f>Table1[[#This Row],[Quantity]]*Table1[[#This Row],[Unit Price (₹)]]</f>
        <v>663000</v>
      </c>
      <c r="O386">
        <f>MAX(0,Table1[[#This Row],[Reorder Level]]-Table1[[#This Row],[Quantity]])</f>
        <v>0</v>
      </c>
      <c r="P386">
        <f>MAX(0,Table1[[#This Row],[Quantity]]-Table1[[#This Row],[Reorder Level]])</f>
        <v>209</v>
      </c>
      <c r="Q386">
        <f>Table1[[#This Row],[Above Reorder QTY]]*Table1[[#This Row],[Unit Price (₹)]]</f>
        <v>627000</v>
      </c>
    </row>
    <row r="387" spans="1:17" x14ac:dyDescent="0.25">
      <c r="A387" s="3">
        <v>46041</v>
      </c>
      <c r="B387" t="s">
        <v>49</v>
      </c>
      <c r="C387" t="s">
        <v>50</v>
      </c>
      <c r="D387" t="s">
        <v>19</v>
      </c>
      <c r="E387" t="s">
        <v>26</v>
      </c>
      <c r="F387">
        <v>210</v>
      </c>
      <c r="G387">
        <v>42</v>
      </c>
      <c r="H387" t="s">
        <v>21</v>
      </c>
      <c r="I387">
        <v>850</v>
      </c>
      <c r="J387">
        <v>19492</v>
      </c>
      <c r="K387">
        <v>3</v>
      </c>
      <c r="L387">
        <v>2555.44</v>
      </c>
      <c r="M387" t="s">
        <v>22</v>
      </c>
      <c r="N387">
        <f>Table1[[#This Row],[Quantity]]*Table1[[#This Row],[Unit Price (₹)]]</f>
        <v>178500</v>
      </c>
      <c r="O387">
        <f>MAX(0,Table1[[#This Row],[Reorder Level]]-Table1[[#This Row],[Quantity]])</f>
        <v>0</v>
      </c>
      <c r="P387">
        <f>MAX(0,Table1[[#This Row],[Quantity]]-Table1[[#This Row],[Reorder Level]])</f>
        <v>168</v>
      </c>
      <c r="Q387">
        <f>Table1[[#This Row],[Above Reorder QTY]]*Table1[[#This Row],[Unit Price (₹)]]</f>
        <v>142800</v>
      </c>
    </row>
    <row r="388" spans="1:17" x14ac:dyDescent="0.25">
      <c r="A388" s="3">
        <v>46042</v>
      </c>
      <c r="B388" t="s">
        <v>17</v>
      </c>
      <c r="C388" t="s">
        <v>18</v>
      </c>
      <c r="D388" t="s">
        <v>44</v>
      </c>
      <c r="E388" t="s">
        <v>45</v>
      </c>
      <c r="F388">
        <v>77</v>
      </c>
      <c r="G388">
        <v>47</v>
      </c>
      <c r="H388" t="s">
        <v>21</v>
      </c>
      <c r="I388">
        <v>250</v>
      </c>
      <c r="J388">
        <v>973.15</v>
      </c>
      <c r="K388">
        <v>7</v>
      </c>
      <c r="L388">
        <v>1974.04</v>
      </c>
      <c r="M388" t="s">
        <v>22</v>
      </c>
      <c r="N388">
        <f>Table1[[#This Row],[Quantity]]*Table1[[#This Row],[Unit Price (₹)]]</f>
        <v>19250</v>
      </c>
      <c r="O388">
        <f>MAX(0,Table1[[#This Row],[Reorder Level]]-Table1[[#This Row],[Quantity]])</f>
        <v>0</v>
      </c>
      <c r="P388">
        <f>MAX(0,Table1[[#This Row],[Quantity]]-Table1[[#This Row],[Reorder Level]])</f>
        <v>30</v>
      </c>
      <c r="Q388">
        <f>Table1[[#This Row],[Above Reorder QTY]]*Table1[[#This Row],[Unit Price (₹)]]</f>
        <v>7500</v>
      </c>
    </row>
    <row r="389" spans="1:17" x14ac:dyDescent="0.25">
      <c r="A389" s="3">
        <v>46043</v>
      </c>
      <c r="B389" t="s">
        <v>56</v>
      </c>
      <c r="C389" t="s">
        <v>28</v>
      </c>
      <c r="D389" t="s">
        <v>32</v>
      </c>
      <c r="E389" t="s">
        <v>45</v>
      </c>
      <c r="F389">
        <v>246</v>
      </c>
      <c r="G389">
        <v>31</v>
      </c>
      <c r="H389" t="s">
        <v>21</v>
      </c>
      <c r="I389">
        <v>1200</v>
      </c>
      <c r="J389">
        <v>69830.98</v>
      </c>
      <c r="K389">
        <v>59</v>
      </c>
      <c r="L389">
        <v>75516.22</v>
      </c>
      <c r="M389" t="s">
        <v>22</v>
      </c>
      <c r="N389">
        <f>Table1[[#This Row],[Quantity]]*Table1[[#This Row],[Unit Price (₹)]]</f>
        <v>295200</v>
      </c>
      <c r="O389">
        <f>MAX(0,Table1[[#This Row],[Reorder Level]]-Table1[[#This Row],[Quantity]])</f>
        <v>0</v>
      </c>
      <c r="P389">
        <f>MAX(0,Table1[[#This Row],[Quantity]]-Table1[[#This Row],[Reorder Level]])</f>
        <v>215</v>
      </c>
      <c r="Q389">
        <f>Table1[[#This Row],[Above Reorder QTY]]*Table1[[#This Row],[Unit Price (₹)]]</f>
        <v>258000</v>
      </c>
    </row>
    <row r="390" spans="1:17" x14ac:dyDescent="0.25">
      <c r="A390" s="3">
        <v>46044</v>
      </c>
      <c r="B390" t="s">
        <v>43</v>
      </c>
      <c r="C390" t="s">
        <v>24</v>
      </c>
      <c r="D390" t="s">
        <v>32</v>
      </c>
      <c r="E390" t="s">
        <v>26</v>
      </c>
      <c r="F390">
        <v>75</v>
      </c>
      <c r="G390">
        <v>26</v>
      </c>
      <c r="H390" t="s">
        <v>21</v>
      </c>
      <c r="I390">
        <v>2200</v>
      </c>
      <c r="J390">
        <v>40295.83</v>
      </c>
      <c r="K390">
        <v>16</v>
      </c>
      <c r="L390">
        <v>34786.67</v>
      </c>
      <c r="M390" t="s">
        <v>22</v>
      </c>
      <c r="N390">
        <f>Table1[[#This Row],[Quantity]]*Table1[[#This Row],[Unit Price (₹)]]</f>
        <v>165000</v>
      </c>
      <c r="O390">
        <f>MAX(0,Table1[[#This Row],[Reorder Level]]-Table1[[#This Row],[Quantity]])</f>
        <v>0</v>
      </c>
      <c r="P390">
        <f>MAX(0,Table1[[#This Row],[Quantity]]-Table1[[#This Row],[Reorder Level]])</f>
        <v>49</v>
      </c>
      <c r="Q390">
        <f>Table1[[#This Row],[Above Reorder QTY]]*Table1[[#This Row],[Unit Price (₹)]]</f>
        <v>107800</v>
      </c>
    </row>
    <row r="391" spans="1:17" x14ac:dyDescent="0.25">
      <c r="A391" s="3">
        <v>46045</v>
      </c>
      <c r="B391" t="s">
        <v>43</v>
      </c>
      <c r="C391" t="s">
        <v>24</v>
      </c>
      <c r="D391" t="s">
        <v>41</v>
      </c>
      <c r="E391" t="s">
        <v>20</v>
      </c>
      <c r="F391">
        <v>235</v>
      </c>
      <c r="G391">
        <v>16</v>
      </c>
      <c r="H391" t="s">
        <v>21</v>
      </c>
      <c r="I391">
        <v>2200</v>
      </c>
      <c r="J391">
        <v>44273.86</v>
      </c>
      <c r="K391">
        <v>18</v>
      </c>
      <c r="L391">
        <v>44407.67</v>
      </c>
      <c r="M391" t="s">
        <v>22</v>
      </c>
      <c r="N391">
        <f>Table1[[#This Row],[Quantity]]*Table1[[#This Row],[Unit Price (₹)]]</f>
        <v>517000</v>
      </c>
      <c r="O391">
        <f>MAX(0,Table1[[#This Row],[Reorder Level]]-Table1[[#This Row],[Quantity]])</f>
        <v>0</v>
      </c>
      <c r="P391">
        <f>MAX(0,Table1[[#This Row],[Quantity]]-Table1[[#This Row],[Reorder Level]])</f>
        <v>219</v>
      </c>
      <c r="Q391">
        <f>Table1[[#This Row],[Above Reorder QTY]]*Table1[[#This Row],[Unit Price (₹)]]</f>
        <v>481800</v>
      </c>
    </row>
    <row r="392" spans="1:17" x14ac:dyDescent="0.25">
      <c r="A392" s="3">
        <v>46046</v>
      </c>
      <c r="B392" t="s">
        <v>27</v>
      </c>
      <c r="C392" t="s">
        <v>28</v>
      </c>
      <c r="D392" t="s">
        <v>42</v>
      </c>
      <c r="E392" t="s">
        <v>37</v>
      </c>
      <c r="F392">
        <v>140</v>
      </c>
      <c r="G392">
        <v>47</v>
      </c>
      <c r="H392" t="s">
        <v>21</v>
      </c>
      <c r="I392">
        <v>18</v>
      </c>
      <c r="J392">
        <v>635.30999999999995</v>
      </c>
      <c r="K392">
        <v>12</v>
      </c>
      <c r="L392">
        <v>236.96</v>
      </c>
      <c r="M392" t="s">
        <v>22</v>
      </c>
      <c r="N392">
        <f>Table1[[#This Row],[Quantity]]*Table1[[#This Row],[Unit Price (₹)]]</f>
        <v>2520</v>
      </c>
      <c r="O392">
        <f>MAX(0,Table1[[#This Row],[Reorder Level]]-Table1[[#This Row],[Quantity]])</f>
        <v>0</v>
      </c>
      <c r="P392">
        <f>MAX(0,Table1[[#This Row],[Quantity]]-Table1[[#This Row],[Reorder Level]])</f>
        <v>93</v>
      </c>
      <c r="Q392">
        <f>Table1[[#This Row],[Above Reorder QTY]]*Table1[[#This Row],[Unit Price (₹)]]</f>
        <v>1674</v>
      </c>
    </row>
    <row r="393" spans="1:17" x14ac:dyDescent="0.25">
      <c r="A393" s="3">
        <v>46047</v>
      </c>
      <c r="B393" t="s">
        <v>23</v>
      </c>
      <c r="C393" t="s">
        <v>24</v>
      </c>
      <c r="D393" t="s">
        <v>32</v>
      </c>
      <c r="E393" t="s">
        <v>20</v>
      </c>
      <c r="F393">
        <v>56</v>
      </c>
      <c r="G393">
        <v>34</v>
      </c>
      <c r="H393" t="s">
        <v>21</v>
      </c>
      <c r="I393">
        <v>2800</v>
      </c>
      <c r="J393">
        <v>19834.060000000001</v>
      </c>
      <c r="K393">
        <v>8</v>
      </c>
      <c r="L393">
        <v>21633.78</v>
      </c>
      <c r="M393" t="s">
        <v>22</v>
      </c>
      <c r="N393">
        <f>Table1[[#This Row],[Quantity]]*Table1[[#This Row],[Unit Price (₹)]]</f>
        <v>156800</v>
      </c>
      <c r="O393">
        <f>MAX(0,Table1[[#This Row],[Reorder Level]]-Table1[[#This Row],[Quantity]])</f>
        <v>0</v>
      </c>
      <c r="P393">
        <f>MAX(0,Table1[[#This Row],[Quantity]]-Table1[[#This Row],[Reorder Level]])</f>
        <v>22</v>
      </c>
      <c r="Q393">
        <f>Table1[[#This Row],[Above Reorder QTY]]*Table1[[#This Row],[Unit Price (₹)]]</f>
        <v>61600</v>
      </c>
    </row>
    <row r="394" spans="1:17" x14ac:dyDescent="0.25">
      <c r="A394" s="3">
        <v>46048</v>
      </c>
      <c r="B394" t="s">
        <v>30</v>
      </c>
      <c r="C394" t="s">
        <v>31</v>
      </c>
      <c r="D394" t="s">
        <v>32</v>
      </c>
      <c r="E394" t="s">
        <v>29</v>
      </c>
      <c r="F394">
        <v>11</v>
      </c>
      <c r="G394">
        <v>20</v>
      </c>
      <c r="H394" t="s">
        <v>47</v>
      </c>
      <c r="I394">
        <v>1100</v>
      </c>
      <c r="J394">
        <v>998.8</v>
      </c>
      <c r="K394">
        <v>1</v>
      </c>
      <c r="L394">
        <v>1114.96</v>
      </c>
      <c r="M394" t="s">
        <v>22</v>
      </c>
      <c r="N394">
        <f>Table1[[#This Row],[Quantity]]*Table1[[#This Row],[Unit Price (₹)]]</f>
        <v>12100</v>
      </c>
      <c r="O394">
        <f>MAX(0,Table1[[#This Row],[Reorder Level]]-Table1[[#This Row],[Quantity]])</f>
        <v>9</v>
      </c>
      <c r="P394">
        <f>MAX(0,Table1[[#This Row],[Quantity]]-Table1[[#This Row],[Reorder Level]])</f>
        <v>0</v>
      </c>
      <c r="Q394">
        <f>Table1[[#This Row],[Above Reorder QTY]]*Table1[[#This Row],[Unit Price (₹)]]</f>
        <v>0</v>
      </c>
    </row>
    <row r="395" spans="1:17" x14ac:dyDescent="0.25">
      <c r="A395" s="3">
        <v>46049</v>
      </c>
      <c r="B395" t="s">
        <v>56</v>
      </c>
      <c r="C395" t="s">
        <v>28</v>
      </c>
      <c r="D395" t="s">
        <v>41</v>
      </c>
      <c r="E395" t="s">
        <v>45</v>
      </c>
      <c r="F395">
        <v>92</v>
      </c>
      <c r="G395">
        <v>12</v>
      </c>
      <c r="H395" t="s">
        <v>21</v>
      </c>
      <c r="I395">
        <v>1200</v>
      </c>
      <c r="J395">
        <v>9056.0499999999993</v>
      </c>
      <c r="K395">
        <v>19</v>
      </c>
      <c r="L395">
        <v>25108.33</v>
      </c>
      <c r="M395" t="s">
        <v>22</v>
      </c>
      <c r="N395">
        <f>Table1[[#This Row],[Quantity]]*Table1[[#This Row],[Unit Price (₹)]]</f>
        <v>110400</v>
      </c>
      <c r="O395">
        <f>MAX(0,Table1[[#This Row],[Reorder Level]]-Table1[[#This Row],[Quantity]])</f>
        <v>0</v>
      </c>
      <c r="P395">
        <f>MAX(0,Table1[[#This Row],[Quantity]]-Table1[[#This Row],[Reorder Level]])</f>
        <v>80</v>
      </c>
      <c r="Q395">
        <f>Table1[[#This Row],[Above Reorder QTY]]*Table1[[#This Row],[Unit Price (₹)]]</f>
        <v>96000</v>
      </c>
    </row>
    <row r="396" spans="1:17" x14ac:dyDescent="0.25">
      <c r="A396" s="3">
        <v>46050</v>
      </c>
      <c r="B396" t="s">
        <v>54</v>
      </c>
      <c r="C396" t="s">
        <v>50</v>
      </c>
      <c r="D396" t="s">
        <v>32</v>
      </c>
      <c r="E396" t="s">
        <v>20</v>
      </c>
      <c r="F396">
        <v>177</v>
      </c>
      <c r="G396">
        <v>22</v>
      </c>
      <c r="H396" t="s">
        <v>21</v>
      </c>
      <c r="I396">
        <v>1500</v>
      </c>
      <c r="J396">
        <v>44675.35</v>
      </c>
      <c r="K396">
        <v>4</v>
      </c>
      <c r="L396">
        <v>6687.14</v>
      </c>
      <c r="M396" t="s">
        <v>22</v>
      </c>
      <c r="N396">
        <f>Table1[[#This Row],[Quantity]]*Table1[[#This Row],[Unit Price (₹)]]</f>
        <v>265500</v>
      </c>
      <c r="O396">
        <f>MAX(0,Table1[[#This Row],[Reorder Level]]-Table1[[#This Row],[Quantity]])</f>
        <v>0</v>
      </c>
      <c r="P396">
        <f>MAX(0,Table1[[#This Row],[Quantity]]-Table1[[#This Row],[Reorder Level]])</f>
        <v>155</v>
      </c>
      <c r="Q396">
        <f>Table1[[#This Row],[Above Reorder QTY]]*Table1[[#This Row],[Unit Price (₹)]]</f>
        <v>232500</v>
      </c>
    </row>
    <row r="397" spans="1:17" x14ac:dyDescent="0.25">
      <c r="A397" s="3">
        <v>46051</v>
      </c>
      <c r="B397" t="s">
        <v>43</v>
      </c>
      <c r="C397" t="s">
        <v>24</v>
      </c>
      <c r="D397" t="s">
        <v>41</v>
      </c>
      <c r="E397" t="s">
        <v>20</v>
      </c>
      <c r="F397">
        <v>91</v>
      </c>
      <c r="G397">
        <v>44</v>
      </c>
      <c r="H397" t="s">
        <v>21</v>
      </c>
      <c r="I397">
        <v>2200</v>
      </c>
      <c r="J397">
        <v>26552.77</v>
      </c>
      <c r="K397">
        <v>8</v>
      </c>
      <c r="L397">
        <v>18941.78</v>
      </c>
      <c r="M397" t="s">
        <v>22</v>
      </c>
      <c r="N397">
        <f>Table1[[#This Row],[Quantity]]*Table1[[#This Row],[Unit Price (₹)]]</f>
        <v>200200</v>
      </c>
      <c r="O397">
        <f>MAX(0,Table1[[#This Row],[Reorder Level]]-Table1[[#This Row],[Quantity]])</f>
        <v>0</v>
      </c>
      <c r="P397">
        <f>MAX(0,Table1[[#This Row],[Quantity]]-Table1[[#This Row],[Reorder Level]])</f>
        <v>47</v>
      </c>
      <c r="Q397">
        <f>Table1[[#This Row],[Above Reorder QTY]]*Table1[[#This Row],[Unit Price (₹)]]</f>
        <v>103400</v>
      </c>
    </row>
    <row r="398" spans="1:17" x14ac:dyDescent="0.25">
      <c r="A398" s="3">
        <v>46052</v>
      </c>
      <c r="B398" t="s">
        <v>57</v>
      </c>
      <c r="C398" t="s">
        <v>24</v>
      </c>
      <c r="D398" t="s">
        <v>32</v>
      </c>
      <c r="E398" t="s">
        <v>33</v>
      </c>
      <c r="F398">
        <v>26</v>
      </c>
      <c r="G398">
        <v>46</v>
      </c>
      <c r="H398" t="s">
        <v>47</v>
      </c>
      <c r="I398">
        <v>1200</v>
      </c>
      <c r="J398">
        <v>3975.06</v>
      </c>
      <c r="K398">
        <v>6</v>
      </c>
      <c r="L398">
        <v>7115.66</v>
      </c>
      <c r="M398" t="s">
        <v>22</v>
      </c>
      <c r="N398">
        <f>Table1[[#This Row],[Quantity]]*Table1[[#This Row],[Unit Price (₹)]]</f>
        <v>31200</v>
      </c>
      <c r="O398">
        <f>MAX(0,Table1[[#This Row],[Reorder Level]]-Table1[[#This Row],[Quantity]])</f>
        <v>20</v>
      </c>
      <c r="P398">
        <f>MAX(0,Table1[[#This Row],[Quantity]]-Table1[[#This Row],[Reorder Level]])</f>
        <v>0</v>
      </c>
      <c r="Q398">
        <f>Table1[[#This Row],[Above Reorder QTY]]*Table1[[#This Row],[Unit Price (₹)]]</f>
        <v>0</v>
      </c>
    </row>
    <row r="399" spans="1:17" x14ac:dyDescent="0.25">
      <c r="A399" s="3">
        <v>46053</v>
      </c>
      <c r="B399" t="s">
        <v>43</v>
      </c>
      <c r="C399" t="s">
        <v>24</v>
      </c>
      <c r="D399" t="s">
        <v>19</v>
      </c>
      <c r="E399" t="s">
        <v>26</v>
      </c>
      <c r="F399">
        <v>145</v>
      </c>
      <c r="G399">
        <v>21</v>
      </c>
      <c r="H399" t="s">
        <v>21</v>
      </c>
      <c r="I399">
        <v>2200</v>
      </c>
      <c r="J399">
        <v>52621.57</v>
      </c>
      <c r="K399">
        <v>14</v>
      </c>
      <c r="L399">
        <v>34719.54</v>
      </c>
      <c r="M399" t="s">
        <v>22</v>
      </c>
      <c r="N399">
        <f>Table1[[#This Row],[Quantity]]*Table1[[#This Row],[Unit Price (₹)]]</f>
        <v>319000</v>
      </c>
      <c r="O399">
        <f>MAX(0,Table1[[#This Row],[Reorder Level]]-Table1[[#This Row],[Quantity]])</f>
        <v>0</v>
      </c>
      <c r="P399">
        <f>MAX(0,Table1[[#This Row],[Quantity]]-Table1[[#This Row],[Reorder Level]])</f>
        <v>124</v>
      </c>
      <c r="Q399">
        <f>Table1[[#This Row],[Above Reorder QTY]]*Table1[[#This Row],[Unit Price (₹)]]</f>
        <v>272800</v>
      </c>
    </row>
    <row r="400" spans="1:17" x14ac:dyDescent="0.25">
      <c r="A400" s="3">
        <v>46054</v>
      </c>
      <c r="B400" t="s">
        <v>57</v>
      </c>
      <c r="C400" t="s">
        <v>24</v>
      </c>
      <c r="D400" t="s">
        <v>32</v>
      </c>
      <c r="E400" t="s">
        <v>29</v>
      </c>
      <c r="F400">
        <v>245</v>
      </c>
      <c r="G400">
        <v>13</v>
      </c>
      <c r="H400" t="s">
        <v>21</v>
      </c>
      <c r="I400">
        <v>1200</v>
      </c>
      <c r="J400">
        <v>12897.96</v>
      </c>
      <c r="K400">
        <v>13</v>
      </c>
      <c r="L400">
        <v>17729.689999999999</v>
      </c>
      <c r="M400" t="s">
        <v>52</v>
      </c>
      <c r="N400">
        <f>Table1[[#This Row],[Quantity]]*Table1[[#This Row],[Unit Price (₹)]]</f>
        <v>294000</v>
      </c>
      <c r="O400">
        <f>MAX(0,Table1[[#This Row],[Reorder Level]]-Table1[[#This Row],[Quantity]])</f>
        <v>0</v>
      </c>
      <c r="P400">
        <f>MAX(0,Table1[[#This Row],[Quantity]]-Table1[[#This Row],[Reorder Level]])</f>
        <v>232</v>
      </c>
      <c r="Q400">
        <f>Table1[[#This Row],[Above Reorder QTY]]*Table1[[#This Row],[Unit Price (₹)]]</f>
        <v>278400</v>
      </c>
    </row>
    <row r="401" spans="1:17" x14ac:dyDescent="0.25">
      <c r="A401" s="3">
        <v>46055</v>
      </c>
      <c r="B401" t="s">
        <v>27</v>
      </c>
      <c r="C401" t="s">
        <v>28</v>
      </c>
      <c r="D401" t="s">
        <v>41</v>
      </c>
      <c r="E401" t="s">
        <v>35</v>
      </c>
      <c r="F401">
        <v>59</v>
      </c>
      <c r="G401">
        <v>25</v>
      </c>
      <c r="H401" t="s">
        <v>21</v>
      </c>
      <c r="I401">
        <v>18</v>
      </c>
      <c r="J401">
        <v>257.87</v>
      </c>
      <c r="K401">
        <v>8</v>
      </c>
      <c r="L401">
        <v>158.03</v>
      </c>
      <c r="M401" t="s">
        <v>52</v>
      </c>
      <c r="N401">
        <f>Table1[[#This Row],[Quantity]]*Table1[[#This Row],[Unit Price (₹)]]</f>
        <v>1062</v>
      </c>
      <c r="O401">
        <f>MAX(0,Table1[[#This Row],[Reorder Level]]-Table1[[#This Row],[Quantity]])</f>
        <v>0</v>
      </c>
      <c r="P401">
        <f>MAX(0,Table1[[#This Row],[Quantity]]-Table1[[#This Row],[Reorder Level]])</f>
        <v>34</v>
      </c>
      <c r="Q401">
        <f>Table1[[#This Row],[Above Reorder QTY]]*Table1[[#This Row],[Unit Price (₹)]]</f>
        <v>612</v>
      </c>
    </row>
    <row r="402" spans="1:17" x14ac:dyDescent="0.25">
      <c r="A402" s="3">
        <v>46056</v>
      </c>
      <c r="B402" t="s">
        <v>23</v>
      </c>
      <c r="C402" t="s">
        <v>24</v>
      </c>
      <c r="D402" t="s">
        <v>32</v>
      </c>
      <c r="E402" t="s">
        <v>45</v>
      </c>
      <c r="F402">
        <v>68</v>
      </c>
      <c r="G402">
        <v>38</v>
      </c>
      <c r="H402" t="s">
        <v>21</v>
      </c>
      <c r="I402">
        <v>2800</v>
      </c>
      <c r="J402">
        <v>2177.9</v>
      </c>
      <c r="K402">
        <v>10</v>
      </c>
      <c r="L402">
        <v>28023.7</v>
      </c>
      <c r="M402" t="s">
        <v>52</v>
      </c>
      <c r="N402">
        <f>Table1[[#This Row],[Quantity]]*Table1[[#This Row],[Unit Price (₹)]]</f>
        <v>190400</v>
      </c>
      <c r="O402">
        <f>MAX(0,Table1[[#This Row],[Reorder Level]]-Table1[[#This Row],[Quantity]])</f>
        <v>0</v>
      </c>
      <c r="P402">
        <f>MAX(0,Table1[[#This Row],[Quantity]]-Table1[[#This Row],[Reorder Level]])</f>
        <v>30</v>
      </c>
      <c r="Q402">
        <f>Table1[[#This Row],[Above Reorder QTY]]*Table1[[#This Row],[Unit Price (₹)]]</f>
        <v>84000</v>
      </c>
    </row>
    <row r="403" spans="1:17" x14ac:dyDescent="0.25">
      <c r="A403" s="3">
        <v>46057</v>
      </c>
      <c r="B403" t="s">
        <v>48</v>
      </c>
      <c r="C403" t="s">
        <v>28</v>
      </c>
      <c r="D403" t="s">
        <v>32</v>
      </c>
      <c r="E403" t="s">
        <v>35</v>
      </c>
      <c r="F403">
        <v>240</v>
      </c>
      <c r="G403">
        <v>44</v>
      </c>
      <c r="H403" t="s">
        <v>21</v>
      </c>
      <c r="I403">
        <v>45</v>
      </c>
      <c r="J403">
        <v>381.67</v>
      </c>
      <c r="K403">
        <v>56</v>
      </c>
      <c r="L403">
        <v>2432.08</v>
      </c>
      <c r="M403" t="s">
        <v>52</v>
      </c>
      <c r="N403">
        <f>Table1[[#This Row],[Quantity]]*Table1[[#This Row],[Unit Price (₹)]]</f>
        <v>10800</v>
      </c>
      <c r="O403">
        <f>MAX(0,Table1[[#This Row],[Reorder Level]]-Table1[[#This Row],[Quantity]])</f>
        <v>0</v>
      </c>
      <c r="P403">
        <f>MAX(0,Table1[[#This Row],[Quantity]]-Table1[[#This Row],[Reorder Level]])</f>
        <v>196</v>
      </c>
      <c r="Q403">
        <f>Table1[[#This Row],[Above Reorder QTY]]*Table1[[#This Row],[Unit Price (₹)]]</f>
        <v>8820</v>
      </c>
    </row>
    <row r="404" spans="1:17" x14ac:dyDescent="0.25">
      <c r="A404" s="3">
        <v>46058</v>
      </c>
      <c r="B404" t="s">
        <v>48</v>
      </c>
      <c r="C404" t="s">
        <v>28</v>
      </c>
      <c r="D404" t="s">
        <v>19</v>
      </c>
      <c r="E404" t="s">
        <v>35</v>
      </c>
      <c r="F404">
        <v>129</v>
      </c>
      <c r="G404">
        <v>46</v>
      </c>
      <c r="H404" t="s">
        <v>21</v>
      </c>
      <c r="I404">
        <v>45</v>
      </c>
      <c r="J404">
        <v>458.44</v>
      </c>
      <c r="K404">
        <v>2</v>
      </c>
      <c r="L404">
        <v>89.94</v>
      </c>
      <c r="M404" t="s">
        <v>52</v>
      </c>
      <c r="N404">
        <f>Table1[[#This Row],[Quantity]]*Table1[[#This Row],[Unit Price (₹)]]</f>
        <v>5805</v>
      </c>
      <c r="O404">
        <f>MAX(0,Table1[[#This Row],[Reorder Level]]-Table1[[#This Row],[Quantity]])</f>
        <v>0</v>
      </c>
      <c r="P404">
        <f>MAX(0,Table1[[#This Row],[Quantity]]-Table1[[#This Row],[Reorder Level]])</f>
        <v>83</v>
      </c>
      <c r="Q404">
        <f>Table1[[#This Row],[Above Reorder QTY]]*Table1[[#This Row],[Unit Price (₹)]]</f>
        <v>3735</v>
      </c>
    </row>
    <row r="405" spans="1:17" x14ac:dyDescent="0.25">
      <c r="A405" s="3">
        <v>46059</v>
      </c>
      <c r="B405" t="s">
        <v>61</v>
      </c>
      <c r="C405" t="s">
        <v>50</v>
      </c>
      <c r="D405" t="s">
        <v>32</v>
      </c>
      <c r="E405" t="s">
        <v>29</v>
      </c>
      <c r="F405">
        <v>88</v>
      </c>
      <c r="G405">
        <v>13</v>
      </c>
      <c r="H405" t="s">
        <v>21</v>
      </c>
      <c r="I405">
        <v>900</v>
      </c>
      <c r="J405">
        <v>13664.4</v>
      </c>
      <c r="K405">
        <v>13</v>
      </c>
      <c r="L405">
        <v>11587.32</v>
      </c>
      <c r="M405" t="s">
        <v>52</v>
      </c>
      <c r="N405">
        <f>Table1[[#This Row],[Quantity]]*Table1[[#This Row],[Unit Price (₹)]]</f>
        <v>79200</v>
      </c>
      <c r="O405">
        <f>MAX(0,Table1[[#This Row],[Reorder Level]]-Table1[[#This Row],[Quantity]])</f>
        <v>0</v>
      </c>
      <c r="P405">
        <f>MAX(0,Table1[[#This Row],[Quantity]]-Table1[[#This Row],[Reorder Level]])</f>
        <v>75</v>
      </c>
      <c r="Q405">
        <f>Table1[[#This Row],[Above Reorder QTY]]*Table1[[#This Row],[Unit Price (₹)]]</f>
        <v>67500</v>
      </c>
    </row>
    <row r="406" spans="1:17" x14ac:dyDescent="0.25">
      <c r="A406" s="3">
        <v>46060</v>
      </c>
      <c r="B406" t="s">
        <v>54</v>
      </c>
      <c r="C406" t="s">
        <v>50</v>
      </c>
      <c r="D406" t="s">
        <v>32</v>
      </c>
      <c r="E406" t="s">
        <v>29</v>
      </c>
      <c r="F406">
        <v>137</v>
      </c>
      <c r="G406">
        <v>44</v>
      </c>
      <c r="H406" t="s">
        <v>21</v>
      </c>
      <c r="I406">
        <v>1500</v>
      </c>
      <c r="J406">
        <v>8342.41</v>
      </c>
      <c r="K406">
        <v>13</v>
      </c>
      <c r="L406">
        <v>20071.939999999999</v>
      </c>
      <c r="M406" t="s">
        <v>52</v>
      </c>
      <c r="N406">
        <f>Table1[[#This Row],[Quantity]]*Table1[[#This Row],[Unit Price (₹)]]</f>
        <v>205500</v>
      </c>
      <c r="O406">
        <f>MAX(0,Table1[[#This Row],[Reorder Level]]-Table1[[#This Row],[Quantity]])</f>
        <v>0</v>
      </c>
      <c r="P406">
        <f>MAX(0,Table1[[#This Row],[Quantity]]-Table1[[#This Row],[Reorder Level]])</f>
        <v>93</v>
      </c>
      <c r="Q406">
        <f>Table1[[#This Row],[Above Reorder QTY]]*Table1[[#This Row],[Unit Price (₹)]]</f>
        <v>139500</v>
      </c>
    </row>
    <row r="407" spans="1:17" x14ac:dyDescent="0.25">
      <c r="A407" s="3">
        <v>46061</v>
      </c>
      <c r="B407" t="s">
        <v>23</v>
      </c>
      <c r="C407" t="s">
        <v>24</v>
      </c>
      <c r="D407" t="s">
        <v>25</v>
      </c>
      <c r="E407" t="s">
        <v>20</v>
      </c>
      <c r="F407">
        <v>222</v>
      </c>
      <c r="G407">
        <v>45</v>
      </c>
      <c r="H407" t="s">
        <v>21</v>
      </c>
      <c r="I407">
        <v>2800</v>
      </c>
      <c r="J407">
        <v>21616.46</v>
      </c>
      <c r="K407">
        <v>29</v>
      </c>
      <c r="L407">
        <v>81815.179999999993</v>
      </c>
      <c r="M407" t="s">
        <v>52</v>
      </c>
      <c r="N407">
        <f>Table1[[#This Row],[Quantity]]*Table1[[#This Row],[Unit Price (₹)]]</f>
        <v>621600</v>
      </c>
      <c r="O407">
        <f>MAX(0,Table1[[#This Row],[Reorder Level]]-Table1[[#This Row],[Quantity]])</f>
        <v>0</v>
      </c>
      <c r="P407">
        <f>MAX(0,Table1[[#This Row],[Quantity]]-Table1[[#This Row],[Reorder Level]])</f>
        <v>177</v>
      </c>
      <c r="Q407">
        <f>Table1[[#This Row],[Above Reorder QTY]]*Table1[[#This Row],[Unit Price (₹)]]</f>
        <v>495600</v>
      </c>
    </row>
    <row r="408" spans="1:17" x14ac:dyDescent="0.25">
      <c r="A408" s="3">
        <v>46062</v>
      </c>
      <c r="B408" t="s">
        <v>39</v>
      </c>
      <c r="C408" t="s">
        <v>31</v>
      </c>
      <c r="D408" t="s">
        <v>41</v>
      </c>
      <c r="E408" t="s">
        <v>35</v>
      </c>
      <c r="F408">
        <v>144</v>
      </c>
      <c r="G408">
        <v>48</v>
      </c>
      <c r="H408" t="s">
        <v>21</v>
      </c>
      <c r="I408">
        <v>650</v>
      </c>
      <c r="J408">
        <v>3581.47</v>
      </c>
      <c r="K408">
        <v>34</v>
      </c>
      <c r="L408">
        <v>21129.16</v>
      </c>
      <c r="M408" t="s">
        <v>52</v>
      </c>
      <c r="N408">
        <f>Table1[[#This Row],[Quantity]]*Table1[[#This Row],[Unit Price (₹)]]</f>
        <v>93600</v>
      </c>
      <c r="O408">
        <f>MAX(0,Table1[[#This Row],[Reorder Level]]-Table1[[#This Row],[Quantity]])</f>
        <v>0</v>
      </c>
      <c r="P408">
        <f>MAX(0,Table1[[#This Row],[Quantity]]-Table1[[#This Row],[Reorder Level]])</f>
        <v>96</v>
      </c>
      <c r="Q408">
        <f>Table1[[#This Row],[Above Reorder QTY]]*Table1[[#This Row],[Unit Price (₹)]]</f>
        <v>62400</v>
      </c>
    </row>
    <row r="409" spans="1:17" x14ac:dyDescent="0.25">
      <c r="A409" s="3">
        <v>46063</v>
      </c>
      <c r="B409" t="s">
        <v>53</v>
      </c>
      <c r="C409" t="s">
        <v>28</v>
      </c>
      <c r="D409" t="s">
        <v>32</v>
      </c>
      <c r="E409" t="s">
        <v>33</v>
      </c>
      <c r="F409">
        <v>148</v>
      </c>
      <c r="G409">
        <v>47</v>
      </c>
      <c r="H409" t="s">
        <v>21</v>
      </c>
      <c r="I409">
        <v>120</v>
      </c>
      <c r="J409">
        <v>898.41</v>
      </c>
      <c r="K409">
        <v>23</v>
      </c>
      <c r="L409">
        <v>2845.61</v>
      </c>
      <c r="M409" t="s">
        <v>52</v>
      </c>
      <c r="N409">
        <f>Table1[[#This Row],[Quantity]]*Table1[[#This Row],[Unit Price (₹)]]</f>
        <v>17760</v>
      </c>
      <c r="O409">
        <f>MAX(0,Table1[[#This Row],[Reorder Level]]-Table1[[#This Row],[Quantity]])</f>
        <v>0</v>
      </c>
      <c r="P409">
        <f>MAX(0,Table1[[#This Row],[Quantity]]-Table1[[#This Row],[Reorder Level]])</f>
        <v>101</v>
      </c>
      <c r="Q409">
        <f>Table1[[#This Row],[Above Reorder QTY]]*Table1[[#This Row],[Unit Price (₹)]]</f>
        <v>12120</v>
      </c>
    </row>
    <row r="410" spans="1:17" x14ac:dyDescent="0.25">
      <c r="A410" s="3">
        <v>46064</v>
      </c>
      <c r="B410" t="s">
        <v>61</v>
      </c>
      <c r="C410" t="s">
        <v>50</v>
      </c>
      <c r="D410" t="s">
        <v>44</v>
      </c>
      <c r="E410" t="s">
        <v>35</v>
      </c>
      <c r="F410">
        <v>221</v>
      </c>
      <c r="G410">
        <v>31</v>
      </c>
      <c r="H410" t="s">
        <v>21</v>
      </c>
      <c r="I410">
        <v>900</v>
      </c>
      <c r="J410">
        <v>17003.18</v>
      </c>
      <c r="K410">
        <v>8</v>
      </c>
      <c r="L410">
        <v>7643.25</v>
      </c>
      <c r="M410" t="s">
        <v>52</v>
      </c>
      <c r="N410">
        <f>Table1[[#This Row],[Quantity]]*Table1[[#This Row],[Unit Price (₹)]]</f>
        <v>198900</v>
      </c>
      <c r="O410">
        <f>MAX(0,Table1[[#This Row],[Reorder Level]]-Table1[[#This Row],[Quantity]])</f>
        <v>0</v>
      </c>
      <c r="P410">
        <f>MAX(0,Table1[[#This Row],[Quantity]]-Table1[[#This Row],[Reorder Level]])</f>
        <v>190</v>
      </c>
      <c r="Q410">
        <f>Table1[[#This Row],[Above Reorder QTY]]*Table1[[#This Row],[Unit Price (₹)]]</f>
        <v>171000</v>
      </c>
    </row>
    <row r="411" spans="1:17" x14ac:dyDescent="0.25">
      <c r="A411" s="3">
        <v>46065</v>
      </c>
      <c r="B411" t="s">
        <v>34</v>
      </c>
      <c r="C411" t="s">
        <v>18</v>
      </c>
      <c r="D411" t="s">
        <v>42</v>
      </c>
      <c r="E411" t="s">
        <v>37</v>
      </c>
      <c r="F411">
        <v>168</v>
      </c>
      <c r="G411">
        <v>33</v>
      </c>
      <c r="H411" t="s">
        <v>21</v>
      </c>
      <c r="I411">
        <v>8500</v>
      </c>
      <c r="J411">
        <v>153392.06</v>
      </c>
      <c r="K411">
        <v>10</v>
      </c>
      <c r="L411">
        <v>95026.95</v>
      </c>
      <c r="M411" t="s">
        <v>52</v>
      </c>
      <c r="N411">
        <f>Table1[[#This Row],[Quantity]]*Table1[[#This Row],[Unit Price (₹)]]</f>
        <v>1428000</v>
      </c>
      <c r="O411">
        <f>MAX(0,Table1[[#This Row],[Reorder Level]]-Table1[[#This Row],[Quantity]])</f>
        <v>0</v>
      </c>
      <c r="P411">
        <f>MAX(0,Table1[[#This Row],[Quantity]]-Table1[[#This Row],[Reorder Level]])</f>
        <v>135</v>
      </c>
      <c r="Q411">
        <f>Table1[[#This Row],[Above Reorder QTY]]*Table1[[#This Row],[Unit Price (₹)]]</f>
        <v>1147500</v>
      </c>
    </row>
    <row r="412" spans="1:17" x14ac:dyDescent="0.25">
      <c r="A412" s="3">
        <v>46066</v>
      </c>
      <c r="B412" t="s">
        <v>23</v>
      </c>
      <c r="C412" t="s">
        <v>24</v>
      </c>
      <c r="D412" t="s">
        <v>32</v>
      </c>
      <c r="E412" t="s">
        <v>33</v>
      </c>
      <c r="F412">
        <v>96</v>
      </c>
      <c r="G412">
        <v>32</v>
      </c>
      <c r="H412" t="s">
        <v>21</v>
      </c>
      <c r="I412">
        <v>2800</v>
      </c>
      <c r="J412">
        <v>78878.070000000007</v>
      </c>
      <c r="K412">
        <v>18</v>
      </c>
      <c r="L412">
        <v>50729.29</v>
      </c>
      <c r="M412" t="s">
        <v>52</v>
      </c>
      <c r="N412">
        <f>Table1[[#This Row],[Quantity]]*Table1[[#This Row],[Unit Price (₹)]]</f>
        <v>268800</v>
      </c>
      <c r="O412">
        <f>MAX(0,Table1[[#This Row],[Reorder Level]]-Table1[[#This Row],[Quantity]])</f>
        <v>0</v>
      </c>
      <c r="P412">
        <f>MAX(0,Table1[[#This Row],[Quantity]]-Table1[[#This Row],[Reorder Level]])</f>
        <v>64</v>
      </c>
      <c r="Q412">
        <f>Table1[[#This Row],[Above Reorder QTY]]*Table1[[#This Row],[Unit Price (₹)]]</f>
        <v>179200</v>
      </c>
    </row>
    <row r="413" spans="1:17" x14ac:dyDescent="0.25">
      <c r="A413" s="3">
        <v>46067</v>
      </c>
      <c r="B413" t="s">
        <v>46</v>
      </c>
      <c r="C413" t="s">
        <v>18</v>
      </c>
      <c r="D413" t="s">
        <v>32</v>
      </c>
      <c r="E413" t="s">
        <v>26</v>
      </c>
      <c r="F413">
        <v>62</v>
      </c>
      <c r="G413">
        <v>12</v>
      </c>
      <c r="H413" t="s">
        <v>21</v>
      </c>
      <c r="I413">
        <v>6000</v>
      </c>
      <c r="J413">
        <v>18841.46</v>
      </c>
      <c r="K413">
        <v>5</v>
      </c>
      <c r="L413">
        <v>32640.03</v>
      </c>
      <c r="M413" t="s">
        <v>52</v>
      </c>
      <c r="N413">
        <f>Table1[[#This Row],[Quantity]]*Table1[[#This Row],[Unit Price (₹)]]</f>
        <v>372000</v>
      </c>
      <c r="O413">
        <f>MAX(0,Table1[[#This Row],[Reorder Level]]-Table1[[#This Row],[Quantity]])</f>
        <v>0</v>
      </c>
      <c r="P413">
        <f>MAX(0,Table1[[#This Row],[Quantity]]-Table1[[#This Row],[Reorder Level]])</f>
        <v>50</v>
      </c>
      <c r="Q413">
        <f>Table1[[#This Row],[Above Reorder QTY]]*Table1[[#This Row],[Unit Price (₹)]]</f>
        <v>300000</v>
      </c>
    </row>
    <row r="414" spans="1:17" x14ac:dyDescent="0.25">
      <c r="A414" s="3">
        <v>46068</v>
      </c>
      <c r="B414" t="s">
        <v>61</v>
      </c>
      <c r="C414" t="s">
        <v>50</v>
      </c>
      <c r="D414" t="s">
        <v>32</v>
      </c>
      <c r="E414" t="s">
        <v>45</v>
      </c>
      <c r="F414">
        <v>186</v>
      </c>
      <c r="G414">
        <v>37</v>
      </c>
      <c r="H414" t="s">
        <v>21</v>
      </c>
      <c r="I414">
        <v>900</v>
      </c>
      <c r="J414">
        <v>9089.1200000000008</v>
      </c>
      <c r="K414">
        <v>1</v>
      </c>
      <c r="L414">
        <v>895.77</v>
      </c>
      <c r="M414" t="s">
        <v>52</v>
      </c>
      <c r="N414">
        <f>Table1[[#This Row],[Quantity]]*Table1[[#This Row],[Unit Price (₹)]]</f>
        <v>167400</v>
      </c>
      <c r="O414">
        <f>MAX(0,Table1[[#This Row],[Reorder Level]]-Table1[[#This Row],[Quantity]])</f>
        <v>0</v>
      </c>
      <c r="P414">
        <f>MAX(0,Table1[[#This Row],[Quantity]]-Table1[[#This Row],[Reorder Level]])</f>
        <v>149</v>
      </c>
      <c r="Q414">
        <f>Table1[[#This Row],[Above Reorder QTY]]*Table1[[#This Row],[Unit Price (₹)]]</f>
        <v>134100</v>
      </c>
    </row>
    <row r="415" spans="1:17" x14ac:dyDescent="0.25">
      <c r="A415" s="3">
        <v>46069</v>
      </c>
      <c r="B415" t="s">
        <v>43</v>
      </c>
      <c r="C415" t="s">
        <v>24</v>
      </c>
      <c r="D415" t="s">
        <v>25</v>
      </c>
      <c r="E415" t="s">
        <v>20</v>
      </c>
      <c r="F415">
        <v>71</v>
      </c>
      <c r="G415">
        <v>15</v>
      </c>
      <c r="H415" t="s">
        <v>21</v>
      </c>
      <c r="I415">
        <v>2200</v>
      </c>
      <c r="J415">
        <v>17974.150000000001</v>
      </c>
      <c r="K415">
        <v>15</v>
      </c>
      <c r="L415">
        <v>36462.18</v>
      </c>
      <c r="M415" t="s">
        <v>52</v>
      </c>
      <c r="N415">
        <f>Table1[[#This Row],[Quantity]]*Table1[[#This Row],[Unit Price (₹)]]</f>
        <v>156200</v>
      </c>
      <c r="O415">
        <f>MAX(0,Table1[[#This Row],[Reorder Level]]-Table1[[#This Row],[Quantity]])</f>
        <v>0</v>
      </c>
      <c r="P415">
        <f>MAX(0,Table1[[#This Row],[Quantity]]-Table1[[#This Row],[Reorder Level]])</f>
        <v>56</v>
      </c>
      <c r="Q415">
        <f>Table1[[#This Row],[Above Reorder QTY]]*Table1[[#This Row],[Unit Price (₹)]]</f>
        <v>123200</v>
      </c>
    </row>
    <row r="416" spans="1:17" x14ac:dyDescent="0.25">
      <c r="A416" s="3">
        <v>46070</v>
      </c>
      <c r="B416" t="s">
        <v>23</v>
      </c>
      <c r="C416" t="s">
        <v>24</v>
      </c>
      <c r="D416" t="s">
        <v>32</v>
      </c>
      <c r="E416" t="s">
        <v>45</v>
      </c>
      <c r="F416">
        <v>183</v>
      </c>
      <c r="G416">
        <v>48</v>
      </c>
      <c r="H416" t="s">
        <v>21</v>
      </c>
      <c r="I416">
        <v>2800</v>
      </c>
      <c r="J416">
        <v>2401.9499999999998</v>
      </c>
      <c r="K416">
        <v>35</v>
      </c>
      <c r="L416">
        <v>98099.82</v>
      </c>
      <c r="M416" t="s">
        <v>52</v>
      </c>
      <c r="N416">
        <f>Table1[[#This Row],[Quantity]]*Table1[[#This Row],[Unit Price (₹)]]</f>
        <v>512400</v>
      </c>
      <c r="O416">
        <f>MAX(0,Table1[[#This Row],[Reorder Level]]-Table1[[#This Row],[Quantity]])</f>
        <v>0</v>
      </c>
      <c r="P416">
        <f>MAX(0,Table1[[#This Row],[Quantity]]-Table1[[#This Row],[Reorder Level]])</f>
        <v>135</v>
      </c>
      <c r="Q416">
        <f>Table1[[#This Row],[Above Reorder QTY]]*Table1[[#This Row],[Unit Price (₹)]]</f>
        <v>378000</v>
      </c>
    </row>
    <row r="417" spans="1:17" x14ac:dyDescent="0.25">
      <c r="A417" s="3">
        <v>46071</v>
      </c>
      <c r="B417" t="s">
        <v>27</v>
      </c>
      <c r="C417" t="s">
        <v>28</v>
      </c>
      <c r="D417" t="s">
        <v>25</v>
      </c>
      <c r="E417" t="s">
        <v>45</v>
      </c>
      <c r="F417">
        <v>149</v>
      </c>
      <c r="G417">
        <v>16</v>
      </c>
      <c r="H417" t="s">
        <v>21</v>
      </c>
      <c r="I417">
        <v>18</v>
      </c>
      <c r="J417">
        <v>728.64</v>
      </c>
      <c r="K417">
        <v>4</v>
      </c>
      <c r="L417">
        <v>68.819999999999993</v>
      </c>
      <c r="M417" t="s">
        <v>52</v>
      </c>
      <c r="N417">
        <f>Table1[[#This Row],[Quantity]]*Table1[[#This Row],[Unit Price (₹)]]</f>
        <v>2682</v>
      </c>
      <c r="O417">
        <f>MAX(0,Table1[[#This Row],[Reorder Level]]-Table1[[#This Row],[Quantity]])</f>
        <v>0</v>
      </c>
      <c r="P417">
        <f>MAX(0,Table1[[#This Row],[Quantity]]-Table1[[#This Row],[Reorder Level]])</f>
        <v>133</v>
      </c>
      <c r="Q417">
        <f>Table1[[#This Row],[Above Reorder QTY]]*Table1[[#This Row],[Unit Price (₹)]]</f>
        <v>2394</v>
      </c>
    </row>
    <row r="418" spans="1:17" x14ac:dyDescent="0.25">
      <c r="A418" s="3">
        <v>46072</v>
      </c>
      <c r="B418" t="s">
        <v>36</v>
      </c>
      <c r="C418" t="s">
        <v>24</v>
      </c>
      <c r="D418" t="s">
        <v>32</v>
      </c>
      <c r="E418" t="s">
        <v>20</v>
      </c>
      <c r="F418">
        <v>54</v>
      </c>
      <c r="G418">
        <v>34</v>
      </c>
      <c r="H418" t="s">
        <v>21</v>
      </c>
      <c r="I418">
        <v>3500</v>
      </c>
      <c r="J418">
        <v>47097.39</v>
      </c>
      <c r="K418">
        <v>1</v>
      </c>
      <c r="L418">
        <v>3714.14</v>
      </c>
      <c r="M418" t="s">
        <v>52</v>
      </c>
      <c r="N418">
        <f>Table1[[#This Row],[Quantity]]*Table1[[#This Row],[Unit Price (₹)]]</f>
        <v>189000</v>
      </c>
      <c r="O418">
        <f>MAX(0,Table1[[#This Row],[Reorder Level]]-Table1[[#This Row],[Quantity]])</f>
        <v>0</v>
      </c>
      <c r="P418">
        <f>MAX(0,Table1[[#This Row],[Quantity]]-Table1[[#This Row],[Reorder Level]])</f>
        <v>20</v>
      </c>
      <c r="Q418">
        <f>Table1[[#This Row],[Above Reorder QTY]]*Table1[[#This Row],[Unit Price (₹)]]</f>
        <v>70000</v>
      </c>
    </row>
    <row r="419" spans="1:17" x14ac:dyDescent="0.25">
      <c r="A419" s="3">
        <v>46073</v>
      </c>
      <c r="B419" t="s">
        <v>46</v>
      </c>
      <c r="C419" t="s">
        <v>18</v>
      </c>
      <c r="D419" t="s">
        <v>32</v>
      </c>
      <c r="E419" t="s">
        <v>20</v>
      </c>
      <c r="F419">
        <v>239</v>
      </c>
      <c r="G419">
        <v>43</v>
      </c>
      <c r="H419" t="s">
        <v>21</v>
      </c>
      <c r="I419">
        <v>6000</v>
      </c>
      <c r="J419">
        <v>175649.47</v>
      </c>
      <c r="K419">
        <v>25</v>
      </c>
      <c r="L419">
        <v>160139.75</v>
      </c>
      <c r="M419" t="s">
        <v>52</v>
      </c>
      <c r="N419">
        <f>Table1[[#This Row],[Quantity]]*Table1[[#This Row],[Unit Price (₹)]]</f>
        <v>1434000</v>
      </c>
      <c r="O419">
        <f>MAX(0,Table1[[#This Row],[Reorder Level]]-Table1[[#This Row],[Quantity]])</f>
        <v>0</v>
      </c>
      <c r="P419">
        <f>MAX(0,Table1[[#This Row],[Quantity]]-Table1[[#This Row],[Reorder Level]])</f>
        <v>196</v>
      </c>
      <c r="Q419">
        <f>Table1[[#This Row],[Above Reorder QTY]]*Table1[[#This Row],[Unit Price (₹)]]</f>
        <v>1176000</v>
      </c>
    </row>
    <row r="420" spans="1:17" x14ac:dyDescent="0.25">
      <c r="A420" s="3">
        <v>46074</v>
      </c>
      <c r="B420" t="s">
        <v>54</v>
      </c>
      <c r="C420" t="s">
        <v>50</v>
      </c>
      <c r="D420" t="s">
        <v>32</v>
      </c>
      <c r="E420" t="s">
        <v>29</v>
      </c>
      <c r="F420">
        <v>242</v>
      </c>
      <c r="G420">
        <v>23</v>
      </c>
      <c r="H420" t="s">
        <v>21</v>
      </c>
      <c r="I420">
        <v>1500</v>
      </c>
      <c r="J420">
        <v>15188.54</v>
      </c>
      <c r="K420">
        <v>23</v>
      </c>
      <c r="L420">
        <v>36255.519999999997</v>
      </c>
      <c r="M420" t="s">
        <v>52</v>
      </c>
      <c r="N420">
        <f>Table1[[#This Row],[Quantity]]*Table1[[#This Row],[Unit Price (₹)]]</f>
        <v>363000</v>
      </c>
      <c r="O420">
        <f>MAX(0,Table1[[#This Row],[Reorder Level]]-Table1[[#This Row],[Quantity]])</f>
        <v>0</v>
      </c>
      <c r="P420">
        <f>MAX(0,Table1[[#This Row],[Quantity]]-Table1[[#This Row],[Reorder Level]])</f>
        <v>219</v>
      </c>
      <c r="Q420">
        <f>Table1[[#This Row],[Above Reorder QTY]]*Table1[[#This Row],[Unit Price (₹)]]</f>
        <v>328500</v>
      </c>
    </row>
    <row r="421" spans="1:17" x14ac:dyDescent="0.25">
      <c r="A421" s="3">
        <v>46075</v>
      </c>
      <c r="B421" t="s">
        <v>39</v>
      </c>
      <c r="C421" t="s">
        <v>31</v>
      </c>
      <c r="D421" t="s">
        <v>42</v>
      </c>
      <c r="E421" t="s">
        <v>35</v>
      </c>
      <c r="F421">
        <v>101</v>
      </c>
      <c r="G421">
        <v>33</v>
      </c>
      <c r="H421" t="s">
        <v>21</v>
      </c>
      <c r="I421">
        <v>650</v>
      </c>
      <c r="J421">
        <v>14458.21</v>
      </c>
      <c r="K421">
        <v>2</v>
      </c>
      <c r="L421">
        <v>1405.41</v>
      </c>
      <c r="M421" t="s">
        <v>52</v>
      </c>
      <c r="N421">
        <f>Table1[[#This Row],[Quantity]]*Table1[[#This Row],[Unit Price (₹)]]</f>
        <v>65650</v>
      </c>
      <c r="O421">
        <f>MAX(0,Table1[[#This Row],[Reorder Level]]-Table1[[#This Row],[Quantity]])</f>
        <v>0</v>
      </c>
      <c r="P421">
        <f>MAX(0,Table1[[#This Row],[Quantity]]-Table1[[#This Row],[Reorder Level]])</f>
        <v>68</v>
      </c>
      <c r="Q421">
        <f>Table1[[#This Row],[Above Reorder QTY]]*Table1[[#This Row],[Unit Price (₹)]]</f>
        <v>44200</v>
      </c>
    </row>
    <row r="422" spans="1:17" x14ac:dyDescent="0.25">
      <c r="A422" s="3">
        <v>46076</v>
      </c>
      <c r="B422" t="s">
        <v>38</v>
      </c>
      <c r="C422" t="s">
        <v>18</v>
      </c>
      <c r="D422" t="s">
        <v>42</v>
      </c>
      <c r="E422" t="s">
        <v>37</v>
      </c>
      <c r="F422">
        <v>134</v>
      </c>
      <c r="G422">
        <v>35</v>
      </c>
      <c r="H422" t="s">
        <v>21</v>
      </c>
      <c r="I422">
        <v>4500</v>
      </c>
      <c r="J422">
        <v>120902.17</v>
      </c>
      <c r="K422">
        <v>9</v>
      </c>
      <c r="L422">
        <v>39985.800000000003</v>
      </c>
      <c r="M422" t="s">
        <v>52</v>
      </c>
      <c r="N422">
        <f>Table1[[#This Row],[Quantity]]*Table1[[#This Row],[Unit Price (₹)]]</f>
        <v>603000</v>
      </c>
      <c r="O422">
        <f>MAX(0,Table1[[#This Row],[Reorder Level]]-Table1[[#This Row],[Quantity]])</f>
        <v>0</v>
      </c>
      <c r="P422">
        <f>MAX(0,Table1[[#This Row],[Quantity]]-Table1[[#This Row],[Reorder Level]])</f>
        <v>99</v>
      </c>
      <c r="Q422">
        <f>Table1[[#This Row],[Above Reorder QTY]]*Table1[[#This Row],[Unit Price (₹)]]</f>
        <v>445500</v>
      </c>
    </row>
    <row r="423" spans="1:17" x14ac:dyDescent="0.25">
      <c r="A423" s="3">
        <v>46077</v>
      </c>
      <c r="B423" t="s">
        <v>34</v>
      </c>
      <c r="C423" t="s">
        <v>18</v>
      </c>
      <c r="D423" t="s">
        <v>41</v>
      </c>
      <c r="E423" t="s">
        <v>33</v>
      </c>
      <c r="F423">
        <v>79</v>
      </c>
      <c r="G423">
        <v>50</v>
      </c>
      <c r="H423" t="s">
        <v>21</v>
      </c>
      <c r="I423">
        <v>8500</v>
      </c>
      <c r="J423">
        <v>38889.43</v>
      </c>
      <c r="K423">
        <v>17</v>
      </c>
      <c r="L423">
        <v>161531.88</v>
      </c>
      <c r="M423" t="s">
        <v>52</v>
      </c>
      <c r="N423">
        <f>Table1[[#This Row],[Quantity]]*Table1[[#This Row],[Unit Price (₹)]]</f>
        <v>671500</v>
      </c>
      <c r="O423">
        <f>MAX(0,Table1[[#This Row],[Reorder Level]]-Table1[[#This Row],[Quantity]])</f>
        <v>0</v>
      </c>
      <c r="P423">
        <f>MAX(0,Table1[[#This Row],[Quantity]]-Table1[[#This Row],[Reorder Level]])</f>
        <v>29</v>
      </c>
      <c r="Q423">
        <f>Table1[[#This Row],[Above Reorder QTY]]*Table1[[#This Row],[Unit Price (₹)]]</f>
        <v>246500</v>
      </c>
    </row>
    <row r="424" spans="1:17" x14ac:dyDescent="0.25">
      <c r="A424" s="3">
        <v>46078</v>
      </c>
      <c r="B424" t="s">
        <v>30</v>
      </c>
      <c r="C424" t="s">
        <v>31</v>
      </c>
      <c r="D424" t="s">
        <v>25</v>
      </c>
      <c r="E424" t="s">
        <v>45</v>
      </c>
      <c r="F424">
        <v>109</v>
      </c>
      <c r="G424">
        <v>48</v>
      </c>
      <c r="H424" t="s">
        <v>21</v>
      </c>
      <c r="I424">
        <v>1100</v>
      </c>
      <c r="J424">
        <v>26703.84</v>
      </c>
      <c r="K424">
        <v>13</v>
      </c>
      <c r="L424">
        <v>16133.66</v>
      </c>
      <c r="M424" t="s">
        <v>52</v>
      </c>
      <c r="N424">
        <f>Table1[[#This Row],[Quantity]]*Table1[[#This Row],[Unit Price (₹)]]</f>
        <v>119900</v>
      </c>
      <c r="O424">
        <f>MAX(0,Table1[[#This Row],[Reorder Level]]-Table1[[#This Row],[Quantity]])</f>
        <v>0</v>
      </c>
      <c r="P424">
        <f>MAX(0,Table1[[#This Row],[Quantity]]-Table1[[#This Row],[Reorder Level]])</f>
        <v>61</v>
      </c>
      <c r="Q424">
        <f>Table1[[#This Row],[Above Reorder QTY]]*Table1[[#This Row],[Unit Price (₹)]]</f>
        <v>67100</v>
      </c>
    </row>
    <row r="425" spans="1:17" x14ac:dyDescent="0.25">
      <c r="A425" s="3">
        <v>46079</v>
      </c>
      <c r="B425" t="s">
        <v>46</v>
      </c>
      <c r="C425" t="s">
        <v>18</v>
      </c>
      <c r="D425" t="s">
        <v>25</v>
      </c>
      <c r="E425" t="s">
        <v>35</v>
      </c>
      <c r="F425">
        <v>62</v>
      </c>
      <c r="G425">
        <v>10</v>
      </c>
      <c r="H425" t="s">
        <v>21</v>
      </c>
      <c r="I425">
        <v>6000</v>
      </c>
      <c r="J425">
        <v>20399.8</v>
      </c>
      <c r="K425">
        <v>3</v>
      </c>
      <c r="L425">
        <v>19728.900000000001</v>
      </c>
      <c r="M425" t="s">
        <v>52</v>
      </c>
      <c r="N425">
        <f>Table1[[#This Row],[Quantity]]*Table1[[#This Row],[Unit Price (₹)]]</f>
        <v>372000</v>
      </c>
      <c r="O425">
        <f>MAX(0,Table1[[#This Row],[Reorder Level]]-Table1[[#This Row],[Quantity]])</f>
        <v>0</v>
      </c>
      <c r="P425">
        <f>MAX(0,Table1[[#This Row],[Quantity]]-Table1[[#This Row],[Reorder Level]])</f>
        <v>52</v>
      </c>
      <c r="Q425">
        <f>Table1[[#This Row],[Above Reorder QTY]]*Table1[[#This Row],[Unit Price (₹)]]</f>
        <v>312000</v>
      </c>
    </row>
    <row r="426" spans="1:17" x14ac:dyDescent="0.25">
      <c r="A426" s="3">
        <v>46080</v>
      </c>
      <c r="B426" t="s">
        <v>30</v>
      </c>
      <c r="C426" t="s">
        <v>31</v>
      </c>
      <c r="D426" t="s">
        <v>32</v>
      </c>
      <c r="E426" t="s">
        <v>29</v>
      </c>
      <c r="F426">
        <v>11</v>
      </c>
      <c r="G426">
        <v>20</v>
      </c>
      <c r="H426" t="s">
        <v>47</v>
      </c>
      <c r="I426">
        <v>1100</v>
      </c>
      <c r="J426">
        <v>2580.3000000000002</v>
      </c>
      <c r="K426">
        <v>2</v>
      </c>
      <c r="L426">
        <v>2473.58</v>
      </c>
      <c r="M426" t="s">
        <v>52</v>
      </c>
      <c r="N426">
        <f>Table1[[#This Row],[Quantity]]*Table1[[#This Row],[Unit Price (₹)]]</f>
        <v>12100</v>
      </c>
      <c r="O426">
        <f>MAX(0,Table1[[#This Row],[Reorder Level]]-Table1[[#This Row],[Quantity]])</f>
        <v>9</v>
      </c>
      <c r="P426">
        <f>MAX(0,Table1[[#This Row],[Quantity]]-Table1[[#This Row],[Reorder Level]])</f>
        <v>0</v>
      </c>
      <c r="Q426">
        <f>Table1[[#This Row],[Above Reorder QTY]]*Table1[[#This Row],[Unit Price (₹)]]</f>
        <v>0</v>
      </c>
    </row>
    <row r="427" spans="1:17" x14ac:dyDescent="0.25">
      <c r="A427" s="3">
        <v>46081</v>
      </c>
      <c r="B427" t="s">
        <v>27</v>
      </c>
      <c r="C427" t="s">
        <v>28</v>
      </c>
      <c r="D427" t="s">
        <v>42</v>
      </c>
      <c r="E427" t="s">
        <v>33</v>
      </c>
      <c r="F427">
        <v>233</v>
      </c>
      <c r="G427">
        <v>31</v>
      </c>
      <c r="H427" t="s">
        <v>21</v>
      </c>
      <c r="I427">
        <v>18</v>
      </c>
      <c r="J427">
        <v>706.19</v>
      </c>
      <c r="K427">
        <v>13</v>
      </c>
      <c r="L427">
        <v>260.12</v>
      </c>
      <c r="M427" t="s">
        <v>52</v>
      </c>
      <c r="N427">
        <f>Table1[[#This Row],[Quantity]]*Table1[[#This Row],[Unit Price (₹)]]</f>
        <v>4194</v>
      </c>
      <c r="O427">
        <f>MAX(0,Table1[[#This Row],[Reorder Level]]-Table1[[#This Row],[Quantity]])</f>
        <v>0</v>
      </c>
      <c r="P427">
        <f>MAX(0,Table1[[#This Row],[Quantity]]-Table1[[#This Row],[Reorder Level]])</f>
        <v>202</v>
      </c>
      <c r="Q427">
        <f>Table1[[#This Row],[Above Reorder QTY]]*Table1[[#This Row],[Unit Price (₹)]]</f>
        <v>3636</v>
      </c>
    </row>
    <row r="428" spans="1:17" x14ac:dyDescent="0.25">
      <c r="A428" s="3">
        <v>46082</v>
      </c>
      <c r="B428" t="s">
        <v>57</v>
      </c>
      <c r="C428" t="s">
        <v>24</v>
      </c>
      <c r="D428" t="s">
        <v>32</v>
      </c>
      <c r="E428" t="s">
        <v>45</v>
      </c>
      <c r="F428">
        <v>184</v>
      </c>
      <c r="G428">
        <v>39</v>
      </c>
      <c r="H428" t="s">
        <v>21</v>
      </c>
      <c r="I428">
        <v>1200</v>
      </c>
      <c r="J428">
        <v>8207.16</v>
      </c>
      <c r="K428">
        <v>32</v>
      </c>
      <c r="L428">
        <v>42044.93</v>
      </c>
      <c r="M428" t="s">
        <v>59</v>
      </c>
      <c r="N428">
        <f>Table1[[#This Row],[Quantity]]*Table1[[#This Row],[Unit Price (₹)]]</f>
        <v>220800</v>
      </c>
      <c r="O428">
        <f>MAX(0,Table1[[#This Row],[Reorder Level]]-Table1[[#This Row],[Quantity]])</f>
        <v>0</v>
      </c>
      <c r="P428">
        <f>MAX(0,Table1[[#This Row],[Quantity]]-Table1[[#This Row],[Reorder Level]])</f>
        <v>145</v>
      </c>
      <c r="Q428">
        <f>Table1[[#This Row],[Above Reorder QTY]]*Table1[[#This Row],[Unit Price (₹)]]</f>
        <v>174000</v>
      </c>
    </row>
    <row r="429" spans="1:17" x14ac:dyDescent="0.25">
      <c r="A429" s="3">
        <v>46083</v>
      </c>
      <c r="B429" t="s">
        <v>23</v>
      </c>
      <c r="C429" t="s">
        <v>24</v>
      </c>
      <c r="D429" t="s">
        <v>32</v>
      </c>
      <c r="E429" t="s">
        <v>26</v>
      </c>
      <c r="F429">
        <v>56</v>
      </c>
      <c r="G429">
        <v>28</v>
      </c>
      <c r="H429" t="s">
        <v>21</v>
      </c>
      <c r="I429">
        <v>2800</v>
      </c>
      <c r="J429">
        <v>34616.639999999999</v>
      </c>
      <c r="K429">
        <v>9</v>
      </c>
      <c r="L429">
        <v>28631.88</v>
      </c>
      <c r="M429" t="s">
        <v>59</v>
      </c>
      <c r="N429">
        <f>Table1[[#This Row],[Quantity]]*Table1[[#This Row],[Unit Price (₹)]]</f>
        <v>156800</v>
      </c>
      <c r="O429">
        <f>MAX(0,Table1[[#This Row],[Reorder Level]]-Table1[[#This Row],[Quantity]])</f>
        <v>0</v>
      </c>
      <c r="P429">
        <f>MAX(0,Table1[[#This Row],[Quantity]]-Table1[[#This Row],[Reorder Level]])</f>
        <v>28</v>
      </c>
      <c r="Q429">
        <f>Table1[[#This Row],[Above Reorder QTY]]*Table1[[#This Row],[Unit Price (₹)]]</f>
        <v>78400</v>
      </c>
    </row>
    <row r="430" spans="1:17" x14ac:dyDescent="0.25">
      <c r="A430" s="3">
        <v>46084</v>
      </c>
      <c r="B430" t="s">
        <v>40</v>
      </c>
      <c r="C430" t="s">
        <v>31</v>
      </c>
      <c r="D430" t="s">
        <v>41</v>
      </c>
      <c r="E430" t="s">
        <v>35</v>
      </c>
      <c r="F430">
        <v>167</v>
      </c>
      <c r="G430">
        <v>30</v>
      </c>
      <c r="H430" t="s">
        <v>21</v>
      </c>
      <c r="I430">
        <v>1400</v>
      </c>
      <c r="J430">
        <v>65876.08</v>
      </c>
      <c r="K430">
        <v>31</v>
      </c>
      <c r="L430">
        <v>48376</v>
      </c>
      <c r="M430" t="s">
        <v>59</v>
      </c>
      <c r="N430">
        <f>Table1[[#This Row],[Quantity]]*Table1[[#This Row],[Unit Price (₹)]]</f>
        <v>233800</v>
      </c>
      <c r="O430">
        <f>MAX(0,Table1[[#This Row],[Reorder Level]]-Table1[[#This Row],[Quantity]])</f>
        <v>0</v>
      </c>
      <c r="P430">
        <f>MAX(0,Table1[[#This Row],[Quantity]]-Table1[[#This Row],[Reorder Level]])</f>
        <v>137</v>
      </c>
      <c r="Q430">
        <f>Table1[[#This Row],[Above Reorder QTY]]*Table1[[#This Row],[Unit Price (₹)]]</f>
        <v>191800</v>
      </c>
    </row>
    <row r="431" spans="1:17" x14ac:dyDescent="0.25">
      <c r="A431" s="3">
        <v>46085</v>
      </c>
      <c r="B431" t="s">
        <v>61</v>
      </c>
      <c r="C431" t="s">
        <v>50</v>
      </c>
      <c r="D431" t="s">
        <v>41</v>
      </c>
      <c r="E431" t="s">
        <v>45</v>
      </c>
      <c r="F431">
        <v>12</v>
      </c>
      <c r="G431">
        <v>38</v>
      </c>
      <c r="H431" t="s">
        <v>47</v>
      </c>
      <c r="I431">
        <v>900</v>
      </c>
      <c r="J431">
        <v>3196.46</v>
      </c>
      <c r="K431">
        <v>1</v>
      </c>
      <c r="L431">
        <v>976.77</v>
      </c>
      <c r="M431" t="s">
        <v>59</v>
      </c>
      <c r="N431">
        <f>Table1[[#This Row],[Quantity]]*Table1[[#This Row],[Unit Price (₹)]]</f>
        <v>10800</v>
      </c>
      <c r="O431">
        <f>MAX(0,Table1[[#This Row],[Reorder Level]]-Table1[[#This Row],[Quantity]])</f>
        <v>26</v>
      </c>
      <c r="P431">
        <f>MAX(0,Table1[[#This Row],[Quantity]]-Table1[[#This Row],[Reorder Level]])</f>
        <v>0</v>
      </c>
      <c r="Q431">
        <f>Table1[[#This Row],[Above Reorder QTY]]*Table1[[#This Row],[Unit Price (₹)]]</f>
        <v>0</v>
      </c>
    </row>
    <row r="432" spans="1:17" x14ac:dyDescent="0.25">
      <c r="A432" s="3">
        <v>46086</v>
      </c>
      <c r="B432" t="s">
        <v>39</v>
      </c>
      <c r="C432" t="s">
        <v>31</v>
      </c>
      <c r="D432" t="s">
        <v>44</v>
      </c>
      <c r="E432" t="s">
        <v>35</v>
      </c>
      <c r="F432">
        <v>12</v>
      </c>
      <c r="G432">
        <v>46</v>
      </c>
      <c r="H432" t="s">
        <v>47</v>
      </c>
      <c r="I432">
        <v>650</v>
      </c>
      <c r="J432">
        <v>1058.98</v>
      </c>
      <c r="K432">
        <v>1</v>
      </c>
      <c r="L432">
        <v>747.12</v>
      </c>
      <c r="M432" t="s">
        <v>59</v>
      </c>
      <c r="N432">
        <f>Table1[[#This Row],[Quantity]]*Table1[[#This Row],[Unit Price (₹)]]</f>
        <v>7800</v>
      </c>
      <c r="O432">
        <f>MAX(0,Table1[[#This Row],[Reorder Level]]-Table1[[#This Row],[Quantity]])</f>
        <v>34</v>
      </c>
      <c r="P432">
        <f>MAX(0,Table1[[#This Row],[Quantity]]-Table1[[#This Row],[Reorder Level]])</f>
        <v>0</v>
      </c>
      <c r="Q432">
        <f>Table1[[#This Row],[Above Reorder QTY]]*Table1[[#This Row],[Unit Price (₹)]]</f>
        <v>0</v>
      </c>
    </row>
    <row r="433" spans="1:17" x14ac:dyDescent="0.25">
      <c r="A433" s="3">
        <v>46087</v>
      </c>
      <c r="B433" t="s">
        <v>39</v>
      </c>
      <c r="C433" t="s">
        <v>31</v>
      </c>
      <c r="D433" t="s">
        <v>25</v>
      </c>
      <c r="E433" t="s">
        <v>26</v>
      </c>
      <c r="F433">
        <v>157</v>
      </c>
      <c r="G433">
        <v>22</v>
      </c>
      <c r="H433" t="s">
        <v>21</v>
      </c>
      <c r="I433">
        <v>650</v>
      </c>
      <c r="J433">
        <v>11268.33</v>
      </c>
      <c r="K433">
        <v>16</v>
      </c>
      <c r="L433">
        <v>11596.43</v>
      </c>
      <c r="M433" t="s">
        <v>59</v>
      </c>
      <c r="N433">
        <f>Table1[[#This Row],[Quantity]]*Table1[[#This Row],[Unit Price (₹)]]</f>
        <v>102050</v>
      </c>
      <c r="O433">
        <f>MAX(0,Table1[[#This Row],[Reorder Level]]-Table1[[#This Row],[Quantity]])</f>
        <v>0</v>
      </c>
      <c r="P433">
        <f>MAX(0,Table1[[#This Row],[Quantity]]-Table1[[#This Row],[Reorder Level]])</f>
        <v>135</v>
      </c>
      <c r="Q433">
        <f>Table1[[#This Row],[Above Reorder QTY]]*Table1[[#This Row],[Unit Price (₹)]]</f>
        <v>87750</v>
      </c>
    </row>
    <row r="434" spans="1:17" x14ac:dyDescent="0.25">
      <c r="A434" s="3">
        <v>46088</v>
      </c>
      <c r="B434" t="s">
        <v>54</v>
      </c>
      <c r="C434" t="s">
        <v>50</v>
      </c>
      <c r="D434" t="s">
        <v>42</v>
      </c>
      <c r="E434" t="s">
        <v>33</v>
      </c>
      <c r="F434">
        <v>117</v>
      </c>
      <c r="G434">
        <v>15</v>
      </c>
      <c r="H434" t="s">
        <v>21</v>
      </c>
      <c r="I434">
        <v>1500</v>
      </c>
      <c r="J434">
        <v>45075.87</v>
      </c>
      <c r="K434">
        <v>14</v>
      </c>
      <c r="L434">
        <v>20493.400000000001</v>
      </c>
      <c r="M434" t="s">
        <v>59</v>
      </c>
      <c r="N434">
        <f>Table1[[#This Row],[Quantity]]*Table1[[#This Row],[Unit Price (₹)]]</f>
        <v>175500</v>
      </c>
      <c r="O434">
        <f>MAX(0,Table1[[#This Row],[Reorder Level]]-Table1[[#This Row],[Quantity]])</f>
        <v>0</v>
      </c>
      <c r="P434">
        <f>MAX(0,Table1[[#This Row],[Quantity]]-Table1[[#This Row],[Reorder Level]])</f>
        <v>102</v>
      </c>
      <c r="Q434">
        <f>Table1[[#This Row],[Above Reorder QTY]]*Table1[[#This Row],[Unit Price (₹)]]</f>
        <v>153000</v>
      </c>
    </row>
    <row r="435" spans="1:17" x14ac:dyDescent="0.25">
      <c r="A435" s="3">
        <v>46089</v>
      </c>
      <c r="B435" t="s">
        <v>53</v>
      </c>
      <c r="C435" t="s">
        <v>28</v>
      </c>
      <c r="D435" t="s">
        <v>32</v>
      </c>
      <c r="E435" t="s">
        <v>29</v>
      </c>
      <c r="F435">
        <v>111</v>
      </c>
      <c r="G435">
        <v>35</v>
      </c>
      <c r="H435" t="s">
        <v>21</v>
      </c>
      <c r="I435">
        <v>120</v>
      </c>
      <c r="J435">
        <v>788.54</v>
      </c>
      <c r="K435">
        <v>7</v>
      </c>
      <c r="L435">
        <v>904.64</v>
      </c>
      <c r="M435" t="s">
        <v>59</v>
      </c>
      <c r="N435">
        <f>Table1[[#This Row],[Quantity]]*Table1[[#This Row],[Unit Price (₹)]]</f>
        <v>13320</v>
      </c>
      <c r="O435">
        <f>MAX(0,Table1[[#This Row],[Reorder Level]]-Table1[[#This Row],[Quantity]])</f>
        <v>0</v>
      </c>
      <c r="P435">
        <f>MAX(0,Table1[[#This Row],[Quantity]]-Table1[[#This Row],[Reorder Level]])</f>
        <v>76</v>
      </c>
      <c r="Q435">
        <f>Table1[[#This Row],[Above Reorder QTY]]*Table1[[#This Row],[Unit Price (₹)]]</f>
        <v>9120</v>
      </c>
    </row>
    <row r="436" spans="1:17" x14ac:dyDescent="0.25">
      <c r="A436" s="3">
        <v>46090</v>
      </c>
      <c r="B436" t="s">
        <v>54</v>
      </c>
      <c r="C436" t="s">
        <v>50</v>
      </c>
      <c r="D436" t="s">
        <v>19</v>
      </c>
      <c r="E436" t="s">
        <v>20</v>
      </c>
      <c r="F436">
        <v>128</v>
      </c>
      <c r="G436">
        <v>29</v>
      </c>
      <c r="H436" t="s">
        <v>21</v>
      </c>
      <c r="I436">
        <v>1500</v>
      </c>
      <c r="J436">
        <v>59384.98</v>
      </c>
      <c r="K436">
        <v>7</v>
      </c>
      <c r="L436">
        <v>11901.84</v>
      </c>
      <c r="M436" t="s">
        <v>59</v>
      </c>
      <c r="N436">
        <f>Table1[[#This Row],[Quantity]]*Table1[[#This Row],[Unit Price (₹)]]</f>
        <v>192000</v>
      </c>
      <c r="O436">
        <f>MAX(0,Table1[[#This Row],[Reorder Level]]-Table1[[#This Row],[Quantity]])</f>
        <v>0</v>
      </c>
      <c r="P436">
        <f>MAX(0,Table1[[#This Row],[Quantity]]-Table1[[#This Row],[Reorder Level]])</f>
        <v>99</v>
      </c>
      <c r="Q436">
        <f>Table1[[#This Row],[Above Reorder QTY]]*Table1[[#This Row],[Unit Price (₹)]]</f>
        <v>148500</v>
      </c>
    </row>
    <row r="437" spans="1:17" x14ac:dyDescent="0.25">
      <c r="A437" s="3">
        <v>46091</v>
      </c>
      <c r="B437" t="s">
        <v>58</v>
      </c>
      <c r="C437" t="s">
        <v>28</v>
      </c>
      <c r="D437" t="s">
        <v>41</v>
      </c>
      <c r="E437" t="s">
        <v>45</v>
      </c>
      <c r="F437">
        <v>220</v>
      </c>
      <c r="G437">
        <v>38</v>
      </c>
      <c r="H437" t="s">
        <v>21</v>
      </c>
      <c r="I437">
        <v>3000</v>
      </c>
      <c r="J437">
        <v>117616.78</v>
      </c>
      <c r="K437">
        <v>10</v>
      </c>
      <c r="L437">
        <v>32562.91</v>
      </c>
      <c r="M437" t="s">
        <v>59</v>
      </c>
      <c r="N437">
        <f>Table1[[#This Row],[Quantity]]*Table1[[#This Row],[Unit Price (₹)]]</f>
        <v>660000</v>
      </c>
      <c r="O437">
        <f>MAX(0,Table1[[#This Row],[Reorder Level]]-Table1[[#This Row],[Quantity]])</f>
        <v>0</v>
      </c>
      <c r="P437">
        <f>MAX(0,Table1[[#This Row],[Quantity]]-Table1[[#This Row],[Reorder Level]])</f>
        <v>182</v>
      </c>
      <c r="Q437">
        <f>Table1[[#This Row],[Above Reorder QTY]]*Table1[[#This Row],[Unit Price (₹)]]</f>
        <v>546000</v>
      </c>
    </row>
    <row r="438" spans="1:17" x14ac:dyDescent="0.25">
      <c r="A438" s="3">
        <v>46092</v>
      </c>
      <c r="B438" t="s">
        <v>39</v>
      </c>
      <c r="C438" t="s">
        <v>31</v>
      </c>
      <c r="D438" t="s">
        <v>44</v>
      </c>
      <c r="E438" t="s">
        <v>20</v>
      </c>
      <c r="F438">
        <v>41</v>
      </c>
      <c r="G438">
        <v>13</v>
      </c>
      <c r="H438" t="s">
        <v>21</v>
      </c>
      <c r="I438">
        <v>650</v>
      </c>
      <c r="J438">
        <v>1745.22</v>
      </c>
      <c r="K438">
        <v>9</v>
      </c>
      <c r="L438">
        <v>5691.1</v>
      </c>
      <c r="M438" t="s">
        <v>59</v>
      </c>
      <c r="N438">
        <f>Table1[[#This Row],[Quantity]]*Table1[[#This Row],[Unit Price (₹)]]</f>
        <v>26650</v>
      </c>
      <c r="O438">
        <f>MAX(0,Table1[[#This Row],[Reorder Level]]-Table1[[#This Row],[Quantity]])</f>
        <v>0</v>
      </c>
      <c r="P438">
        <f>MAX(0,Table1[[#This Row],[Quantity]]-Table1[[#This Row],[Reorder Level]])</f>
        <v>28</v>
      </c>
      <c r="Q438">
        <f>Table1[[#This Row],[Above Reorder QTY]]*Table1[[#This Row],[Unit Price (₹)]]</f>
        <v>18200</v>
      </c>
    </row>
    <row r="439" spans="1:17" x14ac:dyDescent="0.25">
      <c r="A439" s="3">
        <v>46093</v>
      </c>
      <c r="B439" t="s">
        <v>39</v>
      </c>
      <c r="C439" t="s">
        <v>31</v>
      </c>
      <c r="D439" t="s">
        <v>25</v>
      </c>
      <c r="E439" t="s">
        <v>26</v>
      </c>
      <c r="F439">
        <v>91</v>
      </c>
      <c r="G439">
        <v>10</v>
      </c>
      <c r="H439" t="s">
        <v>21</v>
      </c>
      <c r="I439">
        <v>650</v>
      </c>
      <c r="J439">
        <v>8545.36</v>
      </c>
      <c r="K439">
        <v>14</v>
      </c>
      <c r="L439">
        <v>9707.17</v>
      </c>
      <c r="M439" t="s">
        <v>59</v>
      </c>
      <c r="N439">
        <f>Table1[[#This Row],[Quantity]]*Table1[[#This Row],[Unit Price (₹)]]</f>
        <v>59150</v>
      </c>
      <c r="O439">
        <f>MAX(0,Table1[[#This Row],[Reorder Level]]-Table1[[#This Row],[Quantity]])</f>
        <v>0</v>
      </c>
      <c r="P439">
        <f>MAX(0,Table1[[#This Row],[Quantity]]-Table1[[#This Row],[Reorder Level]])</f>
        <v>81</v>
      </c>
      <c r="Q439">
        <f>Table1[[#This Row],[Above Reorder QTY]]*Table1[[#This Row],[Unit Price (₹)]]</f>
        <v>52650</v>
      </c>
    </row>
    <row r="440" spans="1:17" x14ac:dyDescent="0.25">
      <c r="A440" s="3">
        <v>46094</v>
      </c>
      <c r="B440" t="s">
        <v>51</v>
      </c>
      <c r="C440" t="s">
        <v>18</v>
      </c>
      <c r="D440" t="s">
        <v>19</v>
      </c>
      <c r="E440" t="s">
        <v>35</v>
      </c>
      <c r="F440">
        <v>27</v>
      </c>
      <c r="G440">
        <v>29</v>
      </c>
      <c r="H440" t="s">
        <v>47</v>
      </c>
      <c r="I440">
        <v>450</v>
      </c>
      <c r="J440">
        <v>1688.68</v>
      </c>
      <c r="K440">
        <v>2</v>
      </c>
      <c r="L440">
        <v>946.25</v>
      </c>
      <c r="M440" t="s">
        <v>59</v>
      </c>
      <c r="N440">
        <f>Table1[[#This Row],[Quantity]]*Table1[[#This Row],[Unit Price (₹)]]</f>
        <v>12150</v>
      </c>
      <c r="O440">
        <f>MAX(0,Table1[[#This Row],[Reorder Level]]-Table1[[#This Row],[Quantity]])</f>
        <v>2</v>
      </c>
      <c r="P440">
        <f>MAX(0,Table1[[#This Row],[Quantity]]-Table1[[#This Row],[Reorder Level]])</f>
        <v>0</v>
      </c>
      <c r="Q440">
        <f>Table1[[#This Row],[Above Reorder QTY]]*Table1[[#This Row],[Unit Price (₹)]]</f>
        <v>0</v>
      </c>
    </row>
    <row r="441" spans="1:17" x14ac:dyDescent="0.25">
      <c r="A441" s="3">
        <v>46095</v>
      </c>
      <c r="B441" t="s">
        <v>36</v>
      </c>
      <c r="C441" t="s">
        <v>24</v>
      </c>
      <c r="D441" t="s">
        <v>42</v>
      </c>
      <c r="E441" t="s">
        <v>20</v>
      </c>
      <c r="F441">
        <v>126</v>
      </c>
      <c r="G441">
        <v>10</v>
      </c>
      <c r="H441" t="s">
        <v>21</v>
      </c>
      <c r="I441">
        <v>3500</v>
      </c>
      <c r="J441">
        <v>22803.41</v>
      </c>
      <c r="K441">
        <v>15</v>
      </c>
      <c r="L441">
        <v>58756.42</v>
      </c>
      <c r="M441" t="s">
        <v>59</v>
      </c>
      <c r="N441">
        <f>Table1[[#This Row],[Quantity]]*Table1[[#This Row],[Unit Price (₹)]]</f>
        <v>441000</v>
      </c>
      <c r="O441">
        <f>MAX(0,Table1[[#This Row],[Reorder Level]]-Table1[[#This Row],[Quantity]])</f>
        <v>0</v>
      </c>
      <c r="P441">
        <f>MAX(0,Table1[[#This Row],[Quantity]]-Table1[[#This Row],[Reorder Level]])</f>
        <v>116</v>
      </c>
      <c r="Q441">
        <f>Table1[[#This Row],[Above Reorder QTY]]*Table1[[#This Row],[Unit Price (₹)]]</f>
        <v>406000</v>
      </c>
    </row>
    <row r="442" spans="1:17" x14ac:dyDescent="0.25">
      <c r="A442" s="3">
        <v>46096</v>
      </c>
      <c r="B442" t="s">
        <v>48</v>
      </c>
      <c r="C442" t="s">
        <v>28</v>
      </c>
      <c r="D442" t="s">
        <v>32</v>
      </c>
      <c r="E442" t="s">
        <v>37</v>
      </c>
      <c r="F442">
        <v>180</v>
      </c>
      <c r="G442">
        <v>35</v>
      </c>
      <c r="H442" t="s">
        <v>21</v>
      </c>
      <c r="I442">
        <v>45</v>
      </c>
      <c r="J442">
        <v>1545.76</v>
      </c>
      <c r="K442">
        <v>34</v>
      </c>
      <c r="L442">
        <v>1718.02</v>
      </c>
      <c r="M442" t="s">
        <v>59</v>
      </c>
      <c r="N442">
        <f>Table1[[#This Row],[Quantity]]*Table1[[#This Row],[Unit Price (₹)]]</f>
        <v>8100</v>
      </c>
      <c r="O442">
        <f>MAX(0,Table1[[#This Row],[Reorder Level]]-Table1[[#This Row],[Quantity]])</f>
        <v>0</v>
      </c>
      <c r="P442">
        <f>MAX(0,Table1[[#This Row],[Quantity]]-Table1[[#This Row],[Reorder Level]])</f>
        <v>145</v>
      </c>
      <c r="Q442">
        <f>Table1[[#This Row],[Above Reorder QTY]]*Table1[[#This Row],[Unit Price (₹)]]</f>
        <v>6525</v>
      </c>
    </row>
    <row r="443" spans="1:17" x14ac:dyDescent="0.25">
      <c r="A443" s="3">
        <v>46097</v>
      </c>
      <c r="B443" t="s">
        <v>53</v>
      </c>
      <c r="C443" t="s">
        <v>28</v>
      </c>
      <c r="D443" t="s">
        <v>19</v>
      </c>
      <c r="E443" t="s">
        <v>29</v>
      </c>
      <c r="F443">
        <v>106</v>
      </c>
      <c r="G443">
        <v>12</v>
      </c>
      <c r="H443" t="s">
        <v>21</v>
      </c>
      <c r="I443">
        <v>120</v>
      </c>
      <c r="J443">
        <v>3155.07</v>
      </c>
      <c r="K443">
        <v>2</v>
      </c>
      <c r="L443">
        <v>233.45</v>
      </c>
      <c r="M443" t="s">
        <v>59</v>
      </c>
      <c r="N443">
        <f>Table1[[#This Row],[Quantity]]*Table1[[#This Row],[Unit Price (₹)]]</f>
        <v>12720</v>
      </c>
      <c r="O443">
        <f>MAX(0,Table1[[#This Row],[Reorder Level]]-Table1[[#This Row],[Quantity]])</f>
        <v>0</v>
      </c>
      <c r="P443">
        <f>MAX(0,Table1[[#This Row],[Quantity]]-Table1[[#This Row],[Reorder Level]])</f>
        <v>94</v>
      </c>
      <c r="Q443">
        <f>Table1[[#This Row],[Above Reorder QTY]]*Table1[[#This Row],[Unit Price (₹)]]</f>
        <v>11280</v>
      </c>
    </row>
    <row r="444" spans="1:17" x14ac:dyDescent="0.25">
      <c r="A444" s="3">
        <v>46098</v>
      </c>
      <c r="B444" t="s">
        <v>51</v>
      </c>
      <c r="C444" t="s">
        <v>18</v>
      </c>
      <c r="D444" t="s">
        <v>19</v>
      </c>
      <c r="E444" t="s">
        <v>35</v>
      </c>
      <c r="F444">
        <v>187</v>
      </c>
      <c r="G444">
        <v>11</v>
      </c>
      <c r="H444" t="s">
        <v>21</v>
      </c>
      <c r="I444">
        <v>450</v>
      </c>
      <c r="J444">
        <v>11058.55</v>
      </c>
      <c r="K444">
        <v>45</v>
      </c>
      <c r="L444">
        <v>22483.71</v>
      </c>
      <c r="M444" t="s">
        <v>59</v>
      </c>
      <c r="N444">
        <f>Table1[[#This Row],[Quantity]]*Table1[[#This Row],[Unit Price (₹)]]</f>
        <v>84150</v>
      </c>
      <c r="O444">
        <f>MAX(0,Table1[[#This Row],[Reorder Level]]-Table1[[#This Row],[Quantity]])</f>
        <v>0</v>
      </c>
      <c r="P444">
        <f>MAX(0,Table1[[#This Row],[Quantity]]-Table1[[#This Row],[Reorder Level]])</f>
        <v>176</v>
      </c>
      <c r="Q444">
        <f>Table1[[#This Row],[Above Reorder QTY]]*Table1[[#This Row],[Unit Price (₹)]]</f>
        <v>79200</v>
      </c>
    </row>
    <row r="445" spans="1:17" x14ac:dyDescent="0.25">
      <c r="A445" s="3">
        <v>46099</v>
      </c>
      <c r="B445" t="s">
        <v>49</v>
      </c>
      <c r="C445" t="s">
        <v>50</v>
      </c>
      <c r="D445" t="s">
        <v>44</v>
      </c>
      <c r="E445" t="s">
        <v>26</v>
      </c>
      <c r="F445">
        <v>27</v>
      </c>
      <c r="G445">
        <v>18</v>
      </c>
      <c r="H445" t="s">
        <v>21</v>
      </c>
      <c r="I445">
        <v>850</v>
      </c>
      <c r="J445">
        <v>1613.93</v>
      </c>
      <c r="K445">
        <v>2</v>
      </c>
      <c r="L445">
        <v>1761.32</v>
      </c>
      <c r="M445" t="s">
        <v>59</v>
      </c>
      <c r="N445">
        <f>Table1[[#This Row],[Quantity]]*Table1[[#This Row],[Unit Price (₹)]]</f>
        <v>22950</v>
      </c>
      <c r="O445">
        <f>MAX(0,Table1[[#This Row],[Reorder Level]]-Table1[[#This Row],[Quantity]])</f>
        <v>0</v>
      </c>
      <c r="P445">
        <f>MAX(0,Table1[[#This Row],[Quantity]]-Table1[[#This Row],[Reorder Level]])</f>
        <v>9</v>
      </c>
      <c r="Q445">
        <f>Table1[[#This Row],[Above Reorder QTY]]*Table1[[#This Row],[Unit Price (₹)]]</f>
        <v>7650</v>
      </c>
    </row>
    <row r="446" spans="1:17" x14ac:dyDescent="0.25">
      <c r="A446" s="3">
        <v>46100</v>
      </c>
      <c r="B446" t="s">
        <v>57</v>
      </c>
      <c r="C446" t="s">
        <v>24</v>
      </c>
      <c r="D446" t="s">
        <v>25</v>
      </c>
      <c r="E446" t="s">
        <v>26</v>
      </c>
      <c r="F446">
        <v>124</v>
      </c>
      <c r="G446">
        <v>46</v>
      </c>
      <c r="H446" t="s">
        <v>21</v>
      </c>
      <c r="I446">
        <v>1200</v>
      </c>
      <c r="J446">
        <v>23128.06</v>
      </c>
      <c r="K446">
        <v>26</v>
      </c>
      <c r="L446">
        <v>30417.89</v>
      </c>
      <c r="M446" t="s">
        <v>59</v>
      </c>
      <c r="N446">
        <f>Table1[[#This Row],[Quantity]]*Table1[[#This Row],[Unit Price (₹)]]</f>
        <v>148800</v>
      </c>
      <c r="O446">
        <f>MAX(0,Table1[[#This Row],[Reorder Level]]-Table1[[#This Row],[Quantity]])</f>
        <v>0</v>
      </c>
      <c r="P446">
        <f>MAX(0,Table1[[#This Row],[Quantity]]-Table1[[#This Row],[Reorder Level]])</f>
        <v>78</v>
      </c>
      <c r="Q446">
        <f>Table1[[#This Row],[Above Reorder QTY]]*Table1[[#This Row],[Unit Price (₹)]]</f>
        <v>93600</v>
      </c>
    </row>
    <row r="447" spans="1:17" x14ac:dyDescent="0.25">
      <c r="A447" s="3">
        <v>46101</v>
      </c>
      <c r="B447" t="s">
        <v>51</v>
      </c>
      <c r="C447" t="s">
        <v>18</v>
      </c>
      <c r="D447" t="s">
        <v>32</v>
      </c>
      <c r="E447" t="s">
        <v>37</v>
      </c>
      <c r="F447">
        <v>55</v>
      </c>
      <c r="G447">
        <v>30</v>
      </c>
      <c r="H447" t="s">
        <v>21</v>
      </c>
      <c r="I447">
        <v>450</v>
      </c>
      <c r="J447">
        <v>1998.4</v>
      </c>
      <c r="K447">
        <v>7</v>
      </c>
      <c r="L447">
        <v>3431.69</v>
      </c>
      <c r="M447" t="s">
        <v>59</v>
      </c>
      <c r="N447">
        <f>Table1[[#This Row],[Quantity]]*Table1[[#This Row],[Unit Price (₹)]]</f>
        <v>24750</v>
      </c>
      <c r="O447">
        <f>MAX(0,Table1[[#This Row],[Reorder Level]]-Table1[[#This Row],[Quantity]])</f>
        <v>0</v>
      </c>
      <c r="P447">
        <f>MAX(0,Table1[[#This Row],[Quantity]]-Table1[[#This Row],[Reorder Level]])</f>
        <v>25</v>
      </c>
      <c r="Q447">
        <f>Table1[[#This Row],[Above Reorder QTY]]*Table1[[#This Row],[Unit Price (₹)]]</f>
        <v>11250</v>
      </c>
    </row>
    <row r="448" spans="1:17" x14ac:dyDescent="0.25">
      <c r="A448" s="3">
        <v>46102</v>
      </c>
      <c r="B448" t="s">
        <v>36</v>
      </c>
      <c r="C448" t="s">
        <v>24</v>
      </c>
      <c r="D448" t="s">
        <v>25</v>
      </c>
      <c r="E448" t="s">
        <v>29</v>
      </c>
      <c r="F448">
        <v>122</v>
      </c>
      <c r="G448">
        <v>39</v>
      </c>
      <c r="H448" t="s">
        <v>21</v>
      </c>
      <c r="I448">
        <v>3500</v>
      </c>
      <c r="J448">
        <v>56626.21</v>
      </c>
      <c r="K448">
        <v>20</v>
      </c>
      <c r="L448">
        <v>69893.740000000005</v>
      </c>
      <c r="M448" t="s">
        <v>59</v>
      </c>
      <c r="N448">
        <f>Table1[[#This Row],[Quantity]]*Table1[[#This Row],[Unit Price (₹)]]</f>
        <v>427000</v>
      </c>
      <c r="O448">
        <f>MAX(0,Table1[[#This Row],[Reorder Level]]-Table1[[#This Row],[Quantity]])</f>
        <v>0</v>
      </c>
      <c r="P448">
        <f>MAX(0,Table1[[#This Row],[Quantity]]-Table1[[#This Row],[Reorder Level]])</f>
        <v>83</v>
      </c>
      <c r="Q448">
        <f>Table1[[#This Row],[Above Reorder QTY]]*Table1[[#This Row],[Unit Price (₹)]]</f>
        <v>290500</v>
      </c>
    </row>
    <row r="449" spans="1:17" x14ac:dyDescent="0.25">
      <c r="A449" s="3">
        <v>46103</v>
      </c>
      <c r="B449" t="s">
        <v>61</v>
      </c>
      <c r="C449" t="s">
        <v>50</v>
      </c>
      <c r="D449" t="s">
        <v>25</v>
      </c>
      <c r="E449" t="s">
        <v>33</v>
      </c>
      <c r="F449">
        <v>58</v>
      </c>
      <c r="G449">
        <v>13</v>
      </c>
      <c r="H449" t="s">
        <v>21</v>
      </c>
      <c r="I449">
        <v>900</v>
      </c>
      <c r="J449">
        <v>5959.7</v>
      </c>
      <c r="K449">
        <v>5</v>
      </c>
      <c r="L449">
        <v>4519.22</v>
      </c>
      <c r="M449" t="s">
        <v>59</v>
      </c>
      <c r="N449">
        <f>Table1[[#This Row],[Quantity]]*Table1[[#This Row],[Unit Price (₹)]]</f>
        <v>52200</v>
      </c>
      <c r="O449">
        <f>MAX(0,Table1[[#This Row],[Reorder Level]]-Table1[[#This Row],[Quantity]])</f>
        <v>0</v>
      </c>
      <c r="P449">
        <f>MAX(0,Table1[[#This Row],[Quantity]]-Table1[[#This Row],[Reorder Level]])</f>
        <v>45</v>
      </c>
      <c r="Q449">
        <f>Table1[[#This Row],[Above Reorder QTY]]*Table1[[#This Row],[Unit Price (₹)]]</f>
        <v>40500</v>
      </c>
    </row>
    <row r="450" spans="1:17" x14ac:dyDescent="0.25">
      <c r="A450" s="3">
        <v>46104</v>
      </c>
      <c r="B450" t="s">
        <v>56</v>
      </c>
      <c r="C450" t="s">
        <v>28</v>
      </c>
      <c r="D450" t="s">
        <v>25</v>
      </c>
      <c r="E450" t="s">
        <v>29</v>
      </c>
      <c r="F450">
        <v>165</v>
      </c>
      <c r="G450">
        <v>28</v>
      </c>
      <c r="H450" t="s">
        <v>21</v>
      </c>
      <c r="I450">
        <v>1200</v>
      </c>
      <c r="J450">
        <v>33709.769999999997</v>
      </c>
      <c r="K450">
        <v>10</v>
      </c>
      <c r="L450">
        <v>12069.29</v>
      </c>
      <c r="M450" t="s">
        <v>59</v>
      </c>
      <c r="N450">
        <f>Table1[[#This Row],[Quantity]]*Table1[[#This Row],[Unit Price (₹)]]</f>
        <v>198000</v>
      </c>
      <c r="O450">
        <f>MAX(0,Table1[[#This Row],[Reorder Level]]-Table1[[#This Row],[Quantity]])</f>
        <v>0</v>
      </c>
      <c r="P450">
        <f>MAX(0,Table1[[#This Row],[Quantity]]-Table1[[#This Row],[Reorder Level]])</f>
        <v>137</v>
      </c>
      <c r="Q450">
        <f>Table1[[#This Row],[Above Reorder QTY]]*Table1[[#This Row],[Unit Price (₹)]]</f>
        <v>164400</v>
      </c>
    </row>
    <row r="451" spans="1:17" x14ac:dyDescent="0.25">
      <c r="A451" s="3">
        <v>46105</v>
      </c>
      <c r="B451" t="s">
        <v>48</v>
      </c>
      <c r="C451" t="s">
        <v>28</v>
      </c>
      <c r="D451" t="s">
        <v>32</v>
      </c>
      <c r="E451" t="s">
        <v>29</v>
      </c>
      <c r="F451">
        <v>30</v>
      </c>
      <c r="G451">
        <v>41</v>
      </c>
      <c r="H451" t="s">
        <v>47</v>
      </c>
      <c r="I451">
        <v>45</v>
      </c>
      <c r="J451">
        <v>78.78</v>
      </c>
      <c r="K451">
        <v>5</v>
      </c>
      <c r="L451">
        <v>229.9</v>
      </c>
      <c r="M451" t="s">
        <v>59</v>
      </c>
      <c r="N451">
        <f>Table1[[#This Row],[Quantity]]*Table1[[#This Row],[Unit Price (₹)]]</f>
        <v>1350</v>
      </c>
      <c r="O451">
        <f>MAX(0,Table1[[#This Row],[Reorder Level]]-Table1[[#This Row],[Quantity]])</f>
        <v>11</v>
      </c>
      <c r="P451">
        <f>MAX(0,Table1[[#This Row],[Quantity]]-Table1[[#This Row],[Reorder Level]])</f>
        <v>0</v>
      </c>
      <c r="Q451">
        <f>Table1[[#This Row],[Above Reorder QTY]]*Table1[[#This Row],[Unit Price (₹)]]</f>
        <v>0</v>
      </c>
    </row>
    <row r="452" spans="1:17" x14ac:dyDescent="0.25">
      <c r="A452" s="3">
        <v>46106</v>
      </c>
      <c r="B452" t="s">
        <v>61</v>
      </c>
      <c r="C452" t="s">
        <v>50</v>
      </c>
      <c r="D452" t="s">
        <v>32</v>
      </c>
      <c r="E452" t="s">
        <v>35</v>
      </c>
      <c r="F452">
        <v>71</v>
      </c>
      <c r="G452">
        <v>10</v>
      </c>
      <c r="H452" t="s">
        <v>21</v>
      </c>
      <c r="I452">
        <v>900</v>
      </c>
      <c r="J452">
        <v>6583.58</v>
      </c>
      <c r="K452">
        <v>5</v>
      </c>
      <c r="L452">
        <v>5003.2700000000004</v>
      </c>
      <c r="M452" t="s">
        <v>59</v>
      </c>
      <c r="N452">
        <f>Table1[[#This Row],[Quantity]]*Table1[[#This Row],[Unit Price (₹)]]</f>
        <v>63900</v>
      </c>
      <c r="O452">
        <f>MAX(0,Table1[[#This Row],[Reorder Level]]-Table1[[#This Row],[Quantity]])</f>
        <v>0</v>
      </c>
      <c r="P452">
        <f>MAX(0,Table1[[#This Row],[Quantity]]-Table1[[#This Row],[Reorder Level]])</f>
        <v>61</v>
      </c>
      <c r="Q452">
        <f>Table1[[#This Row],[Above Reorder QTY]]*Table1[[#This Row],[Unit Price (₹)]]</f>
        <v>54900</v>
      </c>
    </row>
    <row r="453" spans="1:17" x14ac:dyDescent="0.25">
      <c r="A453" s="3">
        <v>46107</v>
      </c>
      <c r="B453" t="s">
        <v>39</v>
      </c>
      <c r="C453" t="s">
        <v>31</v>
      </c>
      <c r="D453" t="s">
        <v>32</v>
      </c>
      <c r="E453" t="s">
        <v>37</v>
      </c>
      <c r="F453">
        <v>45</v>
      </c>
      <c r="G453">
        <v>49</v>
      </c>
      <c r="H453" t="s">
        <v>47</v>
      </c>
      <c r="I453">
        <v>650</v>
      </c>
      <c r="J453">
        <v>6148.46</v>
      </c>
      <c r="K453">
        <v>10</v>
      </c>
      <c r="L453">
        <v>7329.16</v>
      </c>
      <c r="M453" t="s">
        <v>59</v>
      </c>
      <c r="N453">
        <f>Table1[[#This Row],[Quantity]]*Table1[[#This Row],[Unit Price (₹)]]</f>
        <v>29250</v>
      </c>
      <c r="O453">
        <f>MAX(0,Table1[[#This Row],[Reorder Level]]-Table1[[#This Row],[Quantity]])</f>
        <v>4</v>
      </c>
      <c r="P453">
        <f>MAX(0,Table1[[#This Row],[Quantity]]-Table1[[#This Row],[Reorder Level]])</f>
        <v>0</v>
      </c>
      <c r="Q453">
        <f>Table1[[#This Row],[Above Reorder QTY]]*Table1[[#This Row],[Unit Price (₹)]]</f>
        <v>0</v>
      </c>
    </row>
    <row r="454" spans="1:17" x14ac:dyDescent="0.25">
      <c r="A454" s="3">
        <v>46108</v>
      </c>
      <c r="B454" t="s">
        <v>56</v>
      </c>
      <c r="C454" t="s">
        <v>28</v>
      </c>
      <c r="D454" t="s">
        <v>19</v>
      </c>
      <c r="E454" t="s">
        <v>33</v>
      </c>
      <c r="F454">
        <v>153</v>
      </c>
      <c r="G454">
        <v>43</v>
      </c>
      <c r="H454" t="s">
        <v>21</v>
      </c>
      <c r="I454">
        <v>1200</v>
      </c>
      <c r="J454">
        <v>5711.09</v>
      </c>
      <c r="K454">
        <v>32</v>
      </c>
      <c r="L454">
        <v>41238.43</v>
      </c>
      <c r="M454" t="s">
        <v>59</v>
      </c>
      <c r="N454">
        <f>Table1[[#This Row],[Quantity]]*Table1[[#This Row],[Unit Price (₹)]]</f>
        <v>183600</v>
      </c>
      <c r="O454">
        <f>MAX(0,Table1[[#This Row],[Reorder Level]]-Table1[[#This Row],[Quantity]])</f>
        <v>0</v>
      </c>
      <c r="P454">
        <f>MAX(0,Table1[[#This Row],[Quantity]]-Table1[[#This Row],[Reorder Level]])</f>
        <v>110</v>
      </c>
      <c r="Q454">
        <f>Table1[[#This Row],[Above Reorder QTY]]*Table1[[#This Row],[Unit Price (₹)]]</f>
        <v>132000</v>
      </c>
    </row>
    <row r="455" spans="1:17" x14ac:dyDescent="0.25">
      <c r="A455" s="3">
        <v>46109</v>
      </c>
      <c r="B455" t="s">
        <v>38</v>
      </c>
      <c r="C455" t="s">
        <v>18</v>
      </c>
      <c r="D455" t="s">
        <v>44</v>
      </c>
      <c r="E455" t="s">
        <v>35</v>
      </c>
      <c r="F455">
        <v>200</v>
      </c>
      <c r="G455">
        <v>14</v>
      </c>
      <c r="H455" t="s">
        <v>21</v>
      </c>
      <c r="I455">
        <v>4500</v>
      </c>
      <c r="J455">
        <v>216826.83</v>
      </c>
      <c r="K455">
        <v>7</v>
      </c>
      <c r="L455">
        <v>32754.48</v>
      </c>
      <c r="M455" t="s">
        <v>59</v>
      </c>
      <c r="N455">
        <f>Table1[[#This Row],[Quantity]]*Table1[[#This Row],[Unit Price (₹)]]</f>
        <v>900000</v>
      </c>
      <c r="O455">
        <f>MAX(0,Table1[[#This Row],[Reorder Level]]-Table1[[#This Row],[Quantity]])</f>
        <v>0</v>
      </c>
      <c r="P455">
        <f>MAX(0,Table1[[#This Row],[Quantity]]-Table1[[#This Row],[Reorder Level]])</f>
        <v>186</v>
      </c>
      <c r="Q455">
        <f>Table1[[#This Row],[Above Reorder QTY]]*Table1[[#This Row],[Unit Price (₹)]]</f>
        <v>837000</v>
      </c>
    </row>
    <row r="456" spans="1:17" x14ac:dyDescent="0.25">
      <c r="A456" s="3">
        <v>46110</v>
      </c>
      <c r="B456" t="s">
        <v>58</v>
      </c>
      <c r="C456" t="s">
        <v>28</v>
      </c>
      <c r="D456" t="s">
        <v>42</v>
      </c>
      <c r="E456" t="s">
        <v>20</v>
      </c>
      <c r="F456">
        <v>76</v>
      </c>
      <c r="G456">
        <v>36</v>
      </c>
      <c r="H456" t="s">
        <v>21</v>
      </c>
      <c r="I456">
        <v>3000</v>
      </c>
      <c r="J456">
        <v>58957.23</v>
      </c>
      <c r="K456">
        <v>8</v>
      </c>
      <c r="L456">
        <v>24659.15</v>
      </c>
      <c r="M456" t="s">
        <v>59</v>
      </c>
      <c r="N456">
        <f>Table1[[#This Row],[Quantity]]*Table1[[#This Row],[Unit Price (₹)]]</f>
        <v>228000</v>
      </c>
      <c r="O456">
        <f>MAX(0,Table1[[#This Row],[Reorder Level]]-Table1[[#This Row],[Quantity]])</f>
        <v>0</v>
      </c>
      <c r="P456">
        <f>MAX(0,Table1[[#This Row],[Quantity]]-Table1[[#This Row],[Reorder Level]])</f>
        <v>40</v>
      </c>
      <c r="Q456">
        <f>Table1[[#This Row],[Above Reorder QTY]]*Table1[[#This Row],[Unit Price (₹)]]</f>
        <v>120000</v>
      </c>
    </row>
    <row r="457" spans="1:17" x14ac:dyDescent="0.25">
      <c r="A457" s="3">
        <v>46111</v>
      </c>
      <c r="B457" t="s">
        <v>27</v>
      </c>
      <c r="C457" t="s">
        <v>28</v>
      </c>
      <c r="D457" t="s">
        <v>32</v>
      </c>
      <c r="E457" t="s">
        <v>26</v>
      </c>
      <c r="F457">
        <v>236</v>
      </c>
      <c r="G457">
        <v>32</v>
      </c>
      <c r="H457" t="s">
        <v>21</v>
      </c>
      <c r="I457">
        <v>18</v>
      </c>
      <c r="J457">
        <v>814.38</v>
      </c>
      <c r="K457">
        <v>18</v>
      </c>
      <c r="L457">
        <v>346.27</v>
      </c>
      <c r="M457" t="s">
        <v>59</v>
      </c>
      <c r="N457">
        <f>Table1[[#This Row],[Quantity]]*Table1[[#This Row],[Unit Price (₹)]]</f>
        <v>4248</v>
      </c>
      <c r="O457">
        <f>MAX(0,Table1[[#This Row],[Reorder Level]]-Table1[[#This Row],[Quantity]])</f>
        <v>0</v>
      </c>
      <c r="P457">
        <f>MAX(0,Table1[[#This Row],[Quantity]]-Table1[[#This Row],[Reorder Level]])</f>
        <v>204</v>
      </c>
      <c r="Q457">
        <f>Table1[[#This Row],[Above Reorder QTY]]*Table1[[#This Row],[Unit Price (₹)]]</f>
        <v>3672</v>
      </c>
    </row>
    <row r="458" spans="1:17" x14ac:dyDescent="0.25">
      <c r="A458" s="3">
        <v>46112</v>
      </c>
      <c r="B458" t="s">
        <v>49</v>
      </c>
      <c r="C458" t="s">
        <v>50</v>
      </c>
      <c r="D458" t="s">
        <v>19</v>
      </c>
      <c r="E458" t="s">
        <v>20</v>
      </c>
      <c r="F458">
        <v>172</v>
      </c>
      <c r="G458">
        <v>16</v>
      </c>
      <c r="H458" t="s">
        <v>21</v>
      </c>
      <c r="I458">
        <v>850</v>
      </c>
      <c r="J458">
        <v>9142.7199999999993</v>
      </c>
      <c r="K458">
        <v>38</v>
      </c>
      <c r="L458">
        <v>34823.5</v>
      </c>
      <c r="M458" t="s">
        <v>59</v>
      </c>
      <c r="N458">
        <f>Table1[[#This Row],[Quantity]]*Table1[[#This Row],[Unit Price (₹)]]</f>
        <v>146200</v>
      </c>
      <c r="O458">
        <f>MAX(0,Table1[[#This Row],[Reorder Level]]-Table1[[#This Row],[Quantity]])</f>
        <v>0</v>
      </c>
      <c r="P458">
        <f>MAX(0,Table1[[#This Row],[Quantity]]-Table1[[#This Row],[Reorder Level]])</f>
        <v>156</v>
      </c>
      <c r="Q458">
        <f>Table1[[#This Row],[Above Reorder QTY]]*Table1[[#This Row],[Unit Price (₹)]]</f>
        <v>132600</v>
      </c>
    </row>
    <row r="459" spans="1:17" x14ac:dyDescent="0.25">
      <c r="A459" s="3">
        <v>46113</v>
      </c>
      <c r="B459" t="s">
        <v>49</v>
      </c>
      <c r="C459" t="s">
        <v>50</v>
      </c>
      <c r="D459" t="s">
        <v>32</v>
      </c>
      <c r="E459" t="s">
        <v>37</v>
      </c>
      <c r="F459">
        <v>135</v>
      </c>
      <c r="G459">
        <v>21</v>
      </c>
      <c r="H459" t="s">
        <v>21</v>
      </c>
      <c r="I459">
        <v>850</v>
      </c>
      <c r="J459">
        <v>14027.44</v>
      </c>
      <c r="K459">
        <v>4</v>
      </c>
      <c r="L459">
        <v>3822.06</v>
      </c>
      <c r="M459" t="s">
        <v>60</v>
      </c>
      <c r="N459">
        <f>Table1[[#This Row],[Quantity]]*Table1[[#This Row],[Unit Price (₹)]]</f>
        <v>114750</v>
      </c>
      <c r="O459">
        <f>MAX(0,Table1[[#This Row],[Reorder Level]]-Table1[[#This Row],[Quantity]])</f>
        <v>0</v>
      </c>
      <c r="P459">
        <f>MAX(0,Table1[[#This Row],[Quantity]]-Table1[[#This Row],[Reorder Level]])</f>
        <v>114</v>
      </c>
      <c r="Q459">
        <f>Table1[[#This Row],[Above Reorder QTY]]*Table1[[#This Row],[Unit Price (₹)]]</f>
        <v>96900</v>
      </c>
    </row>
    <row r="460" spans="1:17" x14ac:dyDescent="0.25">
      <c r="A460" s="3">
        <v>46114</v>
      </c>
      <c r="B460" t="s">
        <v>30</v>
      </c>
      <c r="C460" t="s">
        <v>31</v>
      </c>
      <c r="D460" t="s">
        <v>25</v>
      </c>
      <c r="E460" t="s">
        <v>26</v>
      </c>
      <c r="F460">
        <v>209</v>
      </c>
      <c r="G460">
        <v>18</v>
      </c>
      <c r="H460" t="s">
        <v>21</v>
      </c>
      <c r="I460">
        <v>1100</v>
      </c>
      <c r="J460">
        <v>57628.05</v>
      </c>
      <c r="K460">
        <v>28</v>
      </c>
      <c r="L460">
        <v>32327.37</v>
      </c>
      <c r="M460" t="s">
        <v>60</v>
      </c>
      <c r="N460">
        <f>Table1[[#This Row],[Quantity]]*Table1[[#This Row],[Unit Price (₹)]]</f>
        <v>229900</v>
      </c>
      <c r="O460">
        <f>MAX(0,Table1[[#This Row],[Reorder Level]]-Table1[[#This Row],[Quantity]])</f>
        <v>0</v>
      </c>
      <c r="P460">
        <f>MAX(0,Table1[[#This Row],[Quantity]]-Table1[[#This Row],[Reorder Level]])</f>
        <v>191</v>
      </c>
      <c r="Q460">
        <f>Table1[[#This Row],[Above Reorder QTY]]*Table1[[#This Row],[Unit Price (₹)]]</f>
        <v>210100</v>
      </c>
    </row>
    <row r="461" spans="1:17" x14ac:dyDescent="0.25">
      <c r="A461" s="3">
        <v>46115</v>
      </c>
      <c r="B461" t="s">
        <v>34</v>
      </c>
      <c r="C461" t="s">
        <v>18</v>
      </c>
      <c r="D461" t="s">
        <v>32</v>
      </c>
      <c r="E461" t="s">
        <v>35</v>
      </c>
      <c r="F461">
        <v>190</v>
      </c>
      <c r="G461">
        <v>22</v>
      </c>
      <c r="H461" t="s">
        <v>21</v>
      </c>
      <c r="I461">
        <v>8500</v>
      </c>
      <c r="J461">
        <v>397292.3</v>
      </c>
      <c r="K461">
        <v>1</v>
      </c>
      <c r="L461">
        <v>8265.2000000000007</v>
      </c>
      <c r="M461" t="s">
        <v>60</v>
      </c>
      <c r="N461">
        <f>Table1[[#This Row],[Quantity]]*Table1[[#This Row],[Unit Price (₹)]]</f>
        <v>1615000</v>
      </c>
      <c r="O461">
        <f>MAX(0,Table1[[#This Row],[Reorder Level]]-Table1[[#This Row],[Quantity]])</f>
        <v>0</v>
      </c>
      <c r="P461">
        <f>MAX(0,Table1[[#This Row],[Quantity]]-Table1[[#This Row],[Reorder Level]])</f>
        <v>168</v>
      </c>
      <c r="Q461">
        <f>Table1[[#This Row],[Above Reorder QTY]]*Table1[[#This Row],[Unit Price (₹)]]</f>
        <v>1428000</v>
      </c>
    </row>
    <row r="462" spans="1:17" x14ac:dyDescent="0.25">
      <c r="A462" s="3">
        <v>46116</v>
      </c>
      <c r="B462" t="s">
        <v>49</v>
      </c>
      <c r="C462" t="s">
        <v>50</v>
      </c>
      <c r="D462" t="s">
        <v>32</v>
      </c>
      <c r="E462" t="s">
        <v>20</v>
      </c>
      <c r="F462">
        <v>204</v>
      </c>
      <c r="G462">
        <v>17</v>
      </c>
      <c r="H462" t="s">
        <v>21</v>
      </c>
      <c r="I462">
        <v>850</v>
      </c>
      <c r="J462">
        <v>15618.68</v>
      </c>
      <c r="K462">
        <v>8</v>
      </c>
      <c r="L462">
        <v>7055.74</v>
      </c>
      <c r="M462" t="s">
        <v>60</v>
      </c>
      <c r="N462">
        <f>Table1[[#This Row],[Quantity]]*Table1[[#This Row],[Unit Price (₹)]]</f>
        <v>173400</v>
      </c>
      <c r="O462">
        <f>MAX(0,Table1[[#This Row],[Reorder Level]]-Table1[[#This Row],[Quantity]])</f>
        <v>0</v>
      </c>
      <c r="P462">
        <f>MAX(0,Table1[[#This Row],[Quantity]]-Table1[[#This Row],[Reorder Level]])</f>
        <v>187</v>
      </c>
      <c r="Q462">
        <f>Table1[[#This Row],[Above Reorder QTY]]*Table1[[#This Row],[Unit Price (₹)]]</f>
        <v>158950</v>
      </c>
    </row>
    <row r="463" spans="1:17" x14ac:dyDescent="0.25">
      <c r="A463" s="3">
        <v>46117</v>
      </c>
      <c r="B463" t="s">
        <v>56</v>
      </c>
      <c r="C463" t="s">
        <v>28</v>
      </c>
      <c r="D463" t="s">
        <v>32</v>
      </c>
      <c r="E463" t="s">
        <v>26</v>
      </c>
      <c r="F463">
        <v>195</v>
      </c>
      <c r="G463">
        <v>30</v>
      </c>
      <c r="H463" t="s">
        <v>21</v>
      </c>
      <c r="I463">
        <v>1200</v>
      </c>
      <c r="J463">
        <v>52533.88</v>
      </c>
      <c r="K463">
        <v>29</v>
      </c>
      <c r="L463">
        <v>38523.72</v>
      </c>
      <c r="M463" t="s">
        <v>60</v>
      </c>
      <c r="N463">
        <f>Table1[[#This Row],[Quantity]]*Table1[[#This Row],[Unit Price (₹)]]</f>
        <v>234000</v>
      </c>
      <c r="O463">
        <f>MAX(0,Table1[[#This Row],[Reorder Level]]-Table1[[#This Row],[Quantity]])</f>
        <v>0</v>
      </c>
      <c r="P463">
        <f>MAX(0,Table1[[#This Row],[Quantity]]-Table1[[#This Row],[Reorder Level]])</f>
        <v>165</v>
      </c>
      <c r="Q463">
        <f>Table1[[#This Row],[Above Reorder QTY]]*Table1[[#This Row],[Unit Price (₹)]]</f>
        <v>198000</v>
      </c>
    </row>
    <row r="464" spans="1:17" x14ac:dyDescent="0.25">
      <c r="A464" s="3">
        <v>46118</v>
      </c>
      <c r="B464" t="s">
        <v>58</v>
      </c>
      <c r="C464" t="s">
        <v>28</v>
      </c>
      <c r="D464" t="s">
        <v>41</v>
      </c>
      <c r="E464" t="s">
        <v>29</v>
      </c>
      <c r="F464">
        <v>148</v>
      </c>
      <c r="G464">
        <v>26</v>
      </c>
      <c r="H464" t="s">
        <v>21</v>
      </c>
      <c r="I464">
        <v>3000</v>
      </c>
      <c r="J464">
        <v>53381.41</v>
      </c>
      <c r="K464">
        <v>14</v>
      </c>
      <c r="L464">
        <v>39900.25</v>
      </c>
      <c r="M464" t="s">
        <v>60</v>
      </c>
      <c r="N464">
        <f>Table1[[#This Row],[Quantity]]*Table1[[#This Row],[Unit Price (₹)]]</f>
        <v>444000</v>
      </c>
      <c r="O464">
        <f>MAX(0,Table1[[#This Row],[Reorder Level]]-Table1[[#This Row],[Quantity]])</f>
        <v>0</v>
      </c>
      <c r="P464">
        <f>MAX(0,Table1[[#This Row],[Quantity]]-Table1[[#This Row],[Reorder Level]])</f>
        <v>122</v>
      </c>
      <c r="Q464">
        <f>Table1[[#This Row],[Above Reorder QTY]]*Table1[[#This Row],[Unit Price (₹)]]</f>
        <v>366000</v>
      </c>
    </row>
    <row r="465" spans="1:17" x14ac:dyDescent="0.25">
      <c r="A465" s="3">
        <v>46119</v>
      </c>
      <c r="B465" t="s">
        <v>30</v>
      </c>
      <c r="C465" t="s">
        <v>31</v>
      </c>
      <c r="D465" t="s">
        <v>42</v>
      </c>
      <c r="E465" t="s">
        <v>33</v>
      </c>
      <c r="F465">
        <v>203</v>
      </c>
      <c r="G465">
        <v>48</v>
      </c>
      <c r="H465" t="s">
        <v>21</v>
      </c>
      <c r="I465">
        <v>1100</v>
      </c>
      <c r="J465">
        <v>20708.95</v>
      </c>
      <c r="K465">
        <v>50</v>
      </c>
      <c r="L465">
        <v>52628.15</v>
      </c>
      <c r="M465" t="s">
        <v>60</v>
      </c>
      <c r="N465">
        <f>Table1[[#This Row],[Quantity]]*Table1[[#This Row],[Unit Price (₹)]]</f>
        <v>223300</v>
      </c>
      <c r="O465">
        <f>MAX(0,Table1[[#This Row],[Reorder Level]]-Table1[[#This Row],[Quantity]])</f>
        <v>0</v>
      </c>
      <c r="P465">
        <f>MAX(0,Table1[[#This Row],[Quantity]]-Table1[[#This Row],[Reorder Level]])</f>
        <v>155</v>
      </c>
      <c r="Q465">
        <f>Table1[[#This Row],[Above Reorder QTY]]*Table1[[#This Row],[Unit Price (₹)]]</f>
        <v>170500</v>
      </c>
    </row>
    <row r="466" spans="1:17" x14ac:dyDescent="0.25">
      <c r="A466" s="3">
        <v>46120</v>
      </c>
      <c r="B466" t="s">
        <v>49</v>
      </c>
      <c r="C466" t="s">
        <v>50</v>
      </c>
      <c r="D466" t="s">
        <v>42</v>
      </c>
      <c r="E466" t="s">
        <v>29</v>
      </c>
      <c r="F466">
        <v>99</v>
      </c>
      <c r="G466">
        <v>41</v>
      </c>
      <c r="H466" t="s">
        <v>21</v>
      </c>
      <c r="I466">
        <v>850</v>
      </c>
      <c r="J466">
        <v>25647.8</v>
      </c>
      <c r="K466">
        <v>20</v>
      </c>
      <c r="L466">
        <v>18765.46</v>
      </c>
      <c r="M466" t="s">
        <v>60</v>
      </c>
      <c r="N466">
        <f>Table1[[#This Row],[Quantity]]*Table1[[#This Row],[Unit Price (₹)]]</f>
        <v>84150</v>
      </c>
      <c r="O466">
        <f>MAX(0,Table1[[#This Row],[Reorder Level]]-Table1[[#This Row],[Quantity]])</f>
        <v>0</v>
      </c>
      <c r="P466">
        <f>MAX(0,Table1[[#This Row],[Quantity]]-Table1[[#This Row],[Reorder Level]])</f>
        <v>58</v>
      </c>
      <c r="Q466">
        <f>Table1[[#This Row],[Above Reorder QTY]]*Table1[[#This Row],[Unit Price (₹)]]</f>
        <v>49300</v>
      </c>
    </row>
    <row r="467" spans="1:17" x14ac:dyDescent="0.25">
      <c r="A467" s="3">
        <v>46121</v>
      </c>
      <c r="B467" t="s">
        <v>56</v>
      </c>
      <c r="C467" t="s">
        <v>28</v>
      </c>
      <c r="D467" t="s">
        <v>44</v>
      </c>
      <c r="E467" t="s">
        <v>45</v>
      </c>
      <c r="F467">
        <v>192</v>
      </c>
      <c r="G467">
        <v>31</v>
      </c>
      <c r="H467" t="s">
        <v>21</v>
      </c>
      <c r="I467">
        <v>1200</v>
      </c>
      <c r="J467">
        <v>14107.12</v>
      </c>
      <c r="K467">
        <v>28</v>
      </c>
      <c r="L467">
        <v>36300.769999999997</v>
      </c>
      <c r="M467" t="s">
        <v>60</v>
      </c>
      <c r="N467">
        <f>Table1[[#This Row],[Quantity]]*Table1[[#This Row],[Unit Price (₹)]]</f>
        <v>230400</v>
      </c>
      <c r="O467">
        <f>MAX(0,Table1[[#This Row],[Reorder Level]]-Table1[[#This Row],[Quantity]])</f>
        <v>0</v>
      </c>
      <c r="P467">
        <f>MAX(0,Table1[[#This Row],[Quantity]]-Table1[[#This Row],[Reorder Level]])</f>
        <v>161</v>
      </c>
      <c r="Q467">
        <f>Table1[[#This Row],[Above Reorder QTY]]*Table1[[#This Row],[Unit Price (₹)]]</f>
        <v>193200</v>
      </c>
    </row>
    <row r="468" spans="1:17" x14ac:dyDescent="0.25">
      <c r="A468" s="3">
        <v>46122</v>
      </c>
      <c r="B468" t="s">
        <v>54</v>
      </c>
      <c r="C468" t="s">
        <v>50</v>
      </c>
      <c r="D468" t="s">
        <v>25</v>
      </c>
      <c r="E468" t="s">
        <v>33</v>
      </c>
      <c r="F468">
        <v>102</v>
      </c>
      <c r="G468">
        <v>30</v>
      </c>
      <c r="H468" t="s">
        <v>21</v>
      </c>
      <c r="I468">
        <v>1500</v>
      </c>
      <c r="J468">
        <v>13665.52</v>
      </c>
      <c r="K468">
        <v>21</v>
      </c>
      <c r="L468">
        <v>31095.39</v>
      </c>
      <c r="M468" t="s">
        <v>60</v>
      </c>
      <c r="N468">
        <f>Table1[[#This Row],[Quantity]]*Table1[[#This Row],[Unit Price (₹)]]</f>
        <v>153000</v>
      </c>
      <c r="O468">
        <f>MAX(0,Table1[[#This Row],[Reorder Level]]-Table1[[#This Row],[Quantity]])</f>
        <v>0</v>
      </c>
      <c r="P468">
        <f>MAX(0,Table1[[#This Row],[Quantity]]-Table1[[#This Row],[Reorder Level]])</f>
        <v>72</v>
      </c>
      <c r="Q468">
        <f>Table1[[#This Row],[Above Reorder QTY]]*Table1[[#This Row],[Unit Price (₹)]]</f>
        <v>108000</v>
      </c>
    </row>
    <row r="469" spans="1:17" x14ac:dyDescent="0.25">
      <c r="A469" s="3">
        <v>46123</v>
      </c>
      <c r="B469" t="s">
        <v>36</v>
      </c>
      <c r="C469" t="s">
        <v>24</v>
      </c>
      <c r="D469" t="s">
        <v>19</v>
      </c>
      <c r="E469" t="s">
        <v>37</v>
      </c>
      <c r="F469">
        <v>142</v>
      </c>
      <c r="G469">
        <v>20</v>
      </c>
      <c r="H469" t="s">
        <v>21</v>
      </c>
      <c r="I469">
        <v>3500</v>
      </c>
      <c r="J469">
        <v>48898.35</v>
      </c>
      <c r="K469">
        <v>2</v>
      </c>
      <c r="L469">
        <v>6886.25</v>
      </c>
      <c r="M469" t="s">
        <v>60</v>
      </c>
      <c r="N469">
        <f>Table1[[#This Row],[Quantity]]*Table1[[#This Row],[Unit Price (₹)]]</f>
        <v>497000</v>
      </c>
      <c r="O469">
        <f>MAX(0,Table1[[#This Row],[Reorder Level]]-Table1[[#This Row],[Quantity]])</f>
        <v>0</v>
      </c>
      <c r="P469">
        <f>MAX(0,Table1[[#This Row],[Quantity]]-Table1[[#This Row],[Reorder Level]])</f>
        <v>122</v>
      </c>
      <c r="Q469">
        <f>Table1[[#This Row],[Above Reorder QTY]]*Table1[[#This Row],[Unit Price (₹)]]</f>
        <v>427000</v>
      </c>
    </row>
    <row r="470" spans="1:17" x14ac:dyDescent="0.25">
      <c r="A470" s="3">
        <v>46124</v>
      </c>
      <c r="B470" t="s">
        <v>40</v>
      </c>
      <c r="C470" t="s">
        <v>31</v>
      </c>
      <c r="D470" t="s">
        <v>25</v>
      </c>
      <c r="E470" t="s">
        <v>33</v>
      </c>
      <c r="F470">
        <v>82</v>
      </c>
      <c r="G470">
        <v>42</v>
      </c>
      <c r="H470" t="s">
        <v>21</v>
      </c>
      <c r="I470">
        <v>1400</v>
      </c>
      <c r="J470">
        <v>6539.93</v>
      </c>
      <c r="K470">
        <v>5</v>
      </c>
      <c r="L470">
        <v>7461.76</v>
      </c>
      <c r="M470" t="s">
        <v>60</v>
      </c>
      <c r="N470">
        <f>Table1[[#This Row],[Quantity]]*Table1[[#This Row],[Unit Price (₹)]]</f>
        <v>114800</v>
      </c>
      <c r="O470">
        <f>MAX(0,Table1[[#This Row],[Reorder Level]]-Table1[[#This Row],[Quantity]])</f>
        <v>0</v>
      </c>
      <c r="P470">
        <f>MAX(0,Table1[[#This Row],[Quantity]]-Table1[[#This Row],[Reorder Level]])</f>
        <v>40</v>
      </c>
      <c r="Q470">
        <f>Table1[[#This Row],[Above Reorder QTY]]*Table1[[#This Row],[Unit Price (₹)]]</f>
        <v>56000</v>
      </c>
    </row>
    <row r="471" spans="1:17" x14ac:dyDescent="0.25">
      <c r="A471" s="3">
        <v>46125</v>
      </c>
      <c r="B471" t="s">
        <v>48</v>
      </c>
      <c r="C471" t="s">
        <v>28</v>
      </c>
      <c r="D471" t="s">
        <v>42</v>
      </c>
      <c r="E471" t="s">
        <v>33</v>
      </c>
      <c r="F471">
        <v>68</v>
      </c>
      <c r="G471">
        <v>47</v>
      </c>
      <c r="H471" t="s">
        <v>21</v>
      </c>
      <c r="I471">
        <v>45</v>
      </c>
      <c r="J471">
        <v>343.2</v>
      </c>
      <c r="K471">
        <v>5</v>
      </c>
      <c r="L471">
        <v>258.3</v>
      </c>
      <c r="M471" t="s">
        <v>60</v>
      </c>
      <c r="N471">
        <f>Table1[[#This Row],[Quantity]]*Table1[[#This Row],[Unit Price (₹)]]</f>
        <v>3060</v>
      </c>
      <c r="O471">
        <f>MAX(0,Table1[[#This Row],[Reorder Level]]-Table1[[#This Row],[Quantity]])</f>
        <v>0</v>
      </c>
      <c r="P471">
        <f>MAX(0,Table1[[#This Row],[Quantity]]-Table1[[#This Row],[Reorder Level]])</f>
        <v>21</v>
      </c>
      <c r="Q471">
        <f>Table1[[#This Row],[Above Reorder QTY]]*Table1[[#This Row],[Unit Price (₹)]]</f>
        <v>945</v>
      </c>
    </row>
    <row r="472" spans="1:17" x14ac:dyDescent="0.25">
      <c r="A472" s="3">
        <v>46126</v>
      </c>
      <c r="B472" t="s">
        <v>51</v>
      </c>
      <c r="C472" t="s">
        <v>18</v>
      </c>
      <c r="D472" t="s">
        <v>41</v>
      </c>
      <c r="E472" t="s">
        <v>29</v>
      </c>
      <c r="F472">
        <v>107</v>
      </c>
      <c r="G472">
        <v>36</v>
      </c>
      <c r="H472" t="s">
        <v>21</v>
      </c>
      <c r="I472">
        <v>450</v>
      </c>
      <c r="J472">
        <v>13413.79</v>
      </c>
      <c r="K472">
        <v>4</v>
      </c>
      <c r="L472">
        <v>1799.74</v>
      </c>
      <c r="M472" t="s">
        <v>60</v>
      </c>
      <c r="N472">
        <f>Table1[[#This Row],[Quantity]]*Table1[[#This Row],[Unit Price (₹)]]</f>
        <v>48150</v>
      </c>
      <c r="O472">
        <f>MAX(0,Table1[[#This Row],[Reorder Level]]-Table1[[#This Row],[Quantity]])</f>
        <v>0</v>
      </c>
      <c r="P472">
        <f>MAX(0,Table1[[#This Row],[Quantity]]-Table1[[#This Row],[Reorder Level]])</f>
        <v>71</v>
      </c>
      <c r="Q472">
        <f>Table1[[#This Row],[Above Reorder QTY]]*Table1[[#This Row],[Unit Price (₹)]]</f>
        <v>31950</v>
      </c>
    </row>
    <row r="473" spans="1:17" x14ac:dyDescent="0.25">
      <c r="A473" s="3">
        <v>46127</v>
      </c>
      <c r="B473" t="s">
        <v>56</v>
      </c>
      <c r="C473" t="s">
        <v>28</v>
      </c>
      <c r="D473" t="s">
        <v>41</v>
      </c>
      <c r="E473" t="s">
        <v>20</v>
      </c>
      <c r="F473">
        <v>129</v>
      </c>
      <c r="G473">
        <v>29</v>
      </c>
      <c r="H473" t="s">
        <v>21</v>
      </c>
      <c r="I473">
        <v>1200</v>
      </c>
      <c r="J473">
        <v>39660.879999999997</v>
      </c>
      <c r="K473">
        <v>8</v>
      </c>
      <c r="L473">
        <v>10018.83</v>
      </c>
      <c r="M473" t="s">
        <v>60</v>
      </c>
      <c r="N473">
        <f>Table1[[#This Row],[Quantity]]*Table1[[#This Row],[Unit Price (₹)]]</f>
        <v>154800</v>
      </c>
      <c r="O473">
        <f>MAX(0,Table1[[#This Row],[Reorder Level]]-Table1[[#This Row],[Quantity]])</f>
        <v>0</v>
      </c>
      <c r="P473">
        <f>MAX(0,Table1[[#This Row],[Quantity]]-Table1[[#This Row],[Reorder Level]])</f>
        <v>100</v>
      </c>
      <c r="Q473">
        <f>Table1[[#This Row],[Above Reorder QTY]]*Table1[[#This Row],[Unit Price (₹)]]</f>
        <v>120000</v>
      </c>
    </row>
    <row r="474" spans="1:17" x14ac:dyDescent="0.25">
      <c r="A474" s="3">
        <v>46128</v>
      </c>
      <c r="B474" t="s">
        <v>56</v>
      </c>
      <c r="C474" t="s">
        <v>28</v>
      </c>
      <c r="D474" t="s">
        <v>42</v>
      </c>
      <c r="E474" t="s">
        <v>37</v>
      </c>
      <c r="F474">
        <v>39</v>
      </c>
      <c r="G474">
        <v>29</v>
      </c>
      <c r="H474" t="s">
        <v>21</v>
      </c>
      <c r="I474">
        <v>1200</v>
      </c>
      <c r="J474">
        <v>7407.41</v>
      </c>
      <c r="K474">
        <v>4</v>
      </c>
      <c r="L474">
        <v>4885.3100000000004</v>
      </c>
      <c r="M474" t="s">
        <v>60</v>
      </c>
      <c r="N474">
        <f>Table1[[#This Row],[Quantity]]*Table1[[#This Row],[Unit Price (₹)]]</f>
        <v>46800</v>
      </c>
      <c r="O474">
        <f>MAX(0,Table1[[#This Row],[Reorder Level]]-Table1[[#This Row],[Quantity]])</f>
        <v>0</v>
      </c>
      <c r="P474">
        <f>MAX(0,Table1[[#This Row],[Quantity]]-Table1[[#This Row],[Reorder Level]])</f>
        <v>10</v>
      </c>
      <c r="Q474">
        <f>Table1[[#This Row],[Above Reorder QTY]]*Table1[[#This Row],[Unit Price (₹)]]</f>
        <v>12000</v>
      </c>
    </row>
    <row r="475" spans="1:17" x14ac:dyDescent="0.25">
      <c r="A475" s="3">
        <v>46129</v>
      </c>
      <c r="B475" t="s">
        <v>53</v>
      </c>
      <c r="C475" t="s">
        <v>28</v>
      </c>
      <c r="D475" t="s">
        <v>44</v>
      </c>
      <c r="E475" t="s">
        <v>45</v>
      </c>
      <c r="F475">
        <v>124</v>
      </c>
      <c r="G475">
        <v>39</v>
      </c>
      <c r="H475" t="s">
        <v>21</v>
      </c>
      <c r="I475">
        <v>120</v>
      </c>
      <c r="J475">
        <v>3559.99</v>
      </c>
      <c r="K475">
        <v>29</v>
      </c>
      <c r="L475">
        <v>3715.62</v>
      </c>
      <c r="M475" t="s">
        <v>60</v>
      </c>
      <c r="N475">
        <f>Table1[[#This Row],[Quantity]]*Table1[[#This Row],[Unit Price (₹)]]</f>
        <v>14880</v>
      </c>
      <c r="O475">
        <f>MAX(0,Table1[[#This Row],[Reorder Level]]-Table1[[#This Row],[Quantity]])</f>
        <v>0</v>
      </c>
      <c r="P475">
        <f>MAX(0,Table1[[#This Row],[Quantity]]-Table1[[#This Row],[Reorder Level]])</f>
        <v>85</v>
      </c>
      <c r="Q475">
        <f>Table1[[#This Row],[Above Reorder QTY]]*Table1[[#This Row],[Unit Price (₹)]]</f>
        <v>10200</v>
      </c>
    </row>
    <row r="476" spans="1:17" x14ac:dyDescent="0.25">
      <c r="A476" s="3">
        <v>46130</v>
      </c>
      <c r="B476" t="s">
        <v>51</v>
      </c>
      <c r="C476" t="s">
        <v>18</v>
      </c>
      <c r="D476" t="s">
        <v>19</v>
      </c>
      <c r="E476" t="s">
        <v>37</v>
      </c>
      <c r="F476">
        <v>232</v>
      </c>
      <c r="G476">
        <v>28</v>
      </c>
      <c r="H476" t="s">
        <v>21</v>
      </c>
      <c r="I476">
        <v>450</v>
      </c>
      <c r="J476">
        <v>5481.62</v>
      </c>
      <c r="K476">
        <v>18</v>
      </c>
      <c r="L476">
        <v>7751.18</v>
      </c>
      <c r="M476" t="s">
        <v>60</v>
      </c>
      <c r="N476">
        <f>Table1[[#This Row],[Quantity]]*Table1[[#This Row],[Unit Price (₹)]]</f>
        <v>104400</v>
      </c>
      <c r="O476">
        <f>MAX(0,Table1[[#This Row],[Reorder Level]]-Table1[[#This Row],[Quantity]])</f>
        <v>0</v>
      </c>
      <c r="P476">
        <f>MAX(0,Table1[[#This Row],[Quantity]]-Table1[[#This Row],[Reorder Level]])</f>
        <v>204</v>
      </c>
      <c r="Q476">
        <f>Table1[[#This Row],[Above Reorder QTY]]*Table1[[#This Row],[Unit Price (₹)]]</f>
        <v>91800</v>
      </c>
    </row>
    <row r="477" spans="1:17" x14ac:dyDescent="0.25">
      <c r="A477" s="3">
        <v>46131</v>
      </c>
      <c r="B477" t="s">
        <v>58</v>
      </c>
      <c r="C477" t="s">
        <v>28</v>
      </c>
      <c r="D477" t="s">
        <v>19</v>
      </c>
      <c r="E477" t="s">
        <v>37</v>
      </c>
      <c r="F477">
        <v>64</v>
      </c>
      <c r="G477">
        <v>40</v>
      </c>
      <c r="H477" t="s">
        <v>21</v>
      </c>
      <c r="I477">
        <v>3000</v>
      </c>
      <c r="J477">
        <v>16471.580000000002</v>
      </c>
      <c r="K477">
        <v>15</v>
      </c>
      <c r="L477">
        <v>44069.48</v>
      </c>
      <c r="M477" t="s">
        <v>60</v>
      </c>
      <c r="N477">
        <f>Table1[[#This Row],[Quantity]]*Table1[[#This Row],[Unit Price (₹)]]</f>
        <v>192000</v>
      </c>
      <c r="O477">
        <f>MAX(0,Table1[[#This Row],[Reorder Level]]-Table1[[#This Row],[Quantity]])</f>
        <v>0</v>
      </c>
      <c r="P477">
        <f>MAX(0,Table1[[#This Row],[Quantity]]-Table1[[#This Row],[Reorder Level]])</f>
        <v>24</v>
      </c>
      <c r="Q477">
        <f>Table1[[#This Row],[Above Reorder QTY]]*Table1[[#This Row],[Unit Price (₹)]]</f>
        <v>72000</v>
      </c>
    </row>
    <row r="478" spans="1:17" x14ac:dyDescent="0.25">
      <c r="A478" s="3">
        <v>46132</v>
      </c>
      <c r="B478" t="s">
        <v>30</v>
      </c>
      <c r="C478" t="s">
        <v>31</v>
      </c>
      <c r="D478" t="s">
        <v>32</v>
      </c>
      <c r="E478" t="s">
        <v>20</v>
      </c>
      <c r="F478">
        <v>153</v>
      </c>
      <c r="G478">
        <v>44</v>
      </c>
      <c r="H478" t="s">
        <v>21</v>
      </c>
      <c r="I478">
        <v>1100</v>
      </c>
      <c r="J478">
        <v>47592.29</v>
      </c>
      <c r="K478">
        <v>3</v>
      </c>
      <c r="L478">
        <v>3679.63</v>
      </c>
      <c r="M478" t="s">
        <v>60</v>
      </c>
      <c r="N478">
        <f>Table1[[#This Row],[Quantity]]*Table1[[#This Row],[Unit Price (₹)]]</f>
        <v>168300</v>
      </c>
      <c r="O478">
        <f>MAX(0,Table1[[#This Row],[Reorder Level]]-Table1[[#This Row],[Quantity]])</f>
        <v>0</v>
      </c>
      <c r="P478">
        <f>MAX(0,Table1[[#This Row],[Quantity]]-Table1[[#This Row],[Reorder Level]])</f>
        <v>109</v>
      </c>
      <c r="Q478">
        <f>Table1[[#This Row],[Above Reorder QTY]]*Table1[[#This Row],[Unit Price (₹)]]</f>
        <v>119900</v>
      </c>
    </row>
    <row r="479" spans="1:17" x14ac:dyDescent="0.25">
      <c r="A479" s="3">
        <v>46133</v>
      </c>
      <c r="B479" t="s">
        <v>58</v>
      </c>
      <c r="C479" t="s">
        <v>28</v>
      </c>
      <c r="D479" t="s">
        <v>41</v>
      </c>
      <c r="E479" t="s">
        <v>35</v>
      </c>
      <c r="F479">
        <v>200</v>
      </c>
      <c r="G479">
        <v>46</v>
      </c>
      <c r="H479" t="s">
        <v>21</v>
      </c>
      <c r="I479">
        <v>3000</v>
      </c>
      <c r="J479">
        <v>50079.34</v>
      </c>
      <c r="K479">
        <v>36</v>
      </c>
      <c r="L479">
        <v>117805.25</v>
      </c>
      <c r="M479" t="s">
        <v>60</v>
      </c>
      <c r="N479">
        <f>Table1[[#This Row],[Quantity]]*Table1[[#This Row],[Unit Price (₹)]]</f>
        <v>600000</v>
      </c>
      <c r="O479">
        <f>MAX(0,Table1[[#This Row],[Reorder Level]]-Table1[[#This Row],[Quantity]])</f>
        <v>0</v>
      </c>
      <c r="P479">
        <f>MAX(0,Table1[[#This Row],[Quantity]]-Table1[[#This Row],[Reorder Level]])</f>
        <v>154</v>
      </c>
      <c r="Q479">
        <f>Table1[[#This Row],[Above Reorder QTY]]*Table1[[#This Row],[Unit Price (₹)]]</f>
        <v>462000</v>
      </c>
    </row>
    <row r="480" spans="1:17" x14ac:dyDescent="0.25">
      <c r="A480" s="3">
        <v>46134</v>
      </c>
      <c r="B480" t="s">
        <v>56</v>
      </c>
      <c r="C480" t="s">
        <v>28</v>
      </c>
      <c r="D480" t="s">
        <v>32</v>
      </c>
      <c r="E480" t="s">
        <v>37</v>
      </c>
      <c r="F480">
        <v>211</v>
      </c>
      <c r="G480">
        <v>27</v>
      </c>
      <c r="H480" t="s">
        <v>21</v>
      </c>
      <c r="I480">
        <v>1200</v>
      </c>
      <c r="J480">
        <v>54001.22</v>
      </c>
      <c r="K480">
        <v>35</v>
      </c>
      <c r="L480">
        <v>41757.620000000003</v>
      </c>
      <c r="M480" t="s">
        <v>60</v>
      </c>
      <c r="N480">
        <f>Table1[[#This Row],[Quantity]]*Table1[[#This Row],[Unit Price (₹)]]</f>
        <v>253200</v>
      </c>
      <c r="O480">
        <f>MAX(0,Table1[[#This Row],[Reorder Level]]-Table1[[#This Row],[Quantity]])</f>
        <v>0</v>
      </c>
      <c r="P480">
        <f>MAX(0,Table1[[#This Row],[Quantity]]-Table1[[#This Row],[Reorder Level]])</f>
        <v>184</v>
      </c>
      <c r="Q480">
        <f>Table1[[#This Row],[Above Reorder QTY]]*Table1[[#This Row],[Unit Price (₹)]]</f>
        <v>220800</v>
      </c>
    </row>
    <row r="481" spans="1:17" x14ac:dyDescent="0.25">
      <c r="A481" s="3">
        <v>46135</v>
      </c>
      <c r="B481" t="s">
        <v>53</v>
      </c>
      <c r="C481" t="s">
        <v>28</v>
      </c>
      <c r="D481" t="s">
        <v>19</v>
      </c>
      <c r="E481" t="s">
        <v>35</v>
      </c>
      <c r="F481">
        <v>242</v>
      </c>
      <c r="G481">
        <v>25</v>
      </c>
      <c r="H481" t="s">
        <v>21</v>
      </c>
      <c r="I481">
        <v>120</v>
      </c>
      <c r="J481">
        <v>479.98</v>
      </c>
      <c r="K481">
        <v>26</v>
      </c>
      <c r="L481">
        <v>3186.3</v>
      </c>
      <c r="M481" t="s">
        <v>60</v>
      </c>
      <c r="N481">
        <f>Table1[[#This Row],[Quantity]]*Table1[[#This Row],[Unit Price (₹)]]</f>
        <v>29040</v>
      </c>
      <c r="O481">
        <f>MAX(0,Table1[[#This Row],[Reorder Level]]-Table1[[#This Row],[Quantity]])</f>
        <v>0</v>
      </c>
      <c r="P481">
        <f>MAX(0,Table1[[#This Row],[Quantity]]-Table1[[#This Row],[Reorder Level]])</f>
        <v>217</v>
      </c>
      <c r="Q481">
        <f>Table1[[#This Row],[Above Reorder QTY]]*Table1[[#This Row],[Unit Price (₹)]]</f>
        <v>26040</v>
      </c>
    </row>
    <row r="482" spans="1:17" x14ac:dyDescent="0.25">
      <c r="A482" s="3">
        <v>46136</v>
      </c>
      <c r="B482" t="s">
        <v>27</v>
      </c>
      <c r="C482" t="s">
        <v>28</v>
      </c>
      <c r="D482" t="s">
        <v>19</v>
      </c>
      <c r="E482" t="s">
        <v>37</v>
      </c>
      <c r="F482">
        <v>117</v>
      </c>
      <c r="G482">
        <v>43</v>
      </c>
      <c r="H482" t="s">
        <v>21</v>
      </c>
      <c r="I482">
        <v>18</v>
      </c>
      <c r="J482">
        <v>307.42</v>
      </c>
      <c r="K482">
        <v>13</v>
      </c>
      <c r="L482">
        <v>258.52</v>
      </c>
      <c r="M482" t="s">
        <v>60</v>
      </c>
      <c r="N482">
        <f>Table1[[#This Row],[Quantity]]*Table1[[#This Row],[Unit Price (₹)]]</f>
        <v>2106</v>
      </c>
      <c r="O482">
        <f>MAX(0,Table1[[#This Row],[Reorder Level]]-Table1[[#This Row],[Quantity]])</f>
        <v>0</v>
      </c>
      <c r="P482">
        <f>MAX(0,Table1[[#This Row],[Quantity]]-Table1[[#This Row],[Reorder Level]])</f>
        <v>74</v>
      </c>
      <c r="Q482">
        <f>Table1[[#This Row],[Above Reorder QTY]]*Table1[[#This Row],[Unit Price (₹)]]</f>
        <v>1332</v>
      </c>
    </row>
    <row r="483" spans="1:17" x14ac:dyDescent="0.25">
      <c r="A483" s="3">
        <v>46137</v>
      </c>
      <c r="B483" t="s">
        <v>51</v>
      </c>
      <c r="C483" t="s">
        <v>18</v>
      </c>
      <c r="D483" t="s">
        <v>25</v>
      </c>
      <c r="E483" t="s">
        <v>29</v>
      </c>
      <c r="F483">
        <v>115</v>
      </c>
      <c r="G483">
        <v>11</v>
      </c>
      <c r="H483" t="s">
        <v>21</v>
      </c>
      <c r="I483">
        <v>450</v>
      </c>
      <c r="J483">
        <v>3038.26</v>
      </c>
      <c r="K483">
        <v>21</v>
      </c>
      <c r="L483">
        <v>10684.59</v>
      </c>
      <c r="M483" t="s">
        <v>60</v>
      </c>
      <c r="N483">
        <f>Table1[[#This Row],[Quantity]]*Table1[[#This Row],[Unit Price (₹)]]</f>
        <v>51750</v>
      </c>
      <c r="O483">
        <f>MAX(0,Table1[[#This Row],[Reorder Level]]-Table1[[#This Row],[Quantity]])</f>
        <v>0</v>
      </c>
      <c r="P483">
        <f>MAX(0,Table1[[#This Row],[Quantity]]-Table1[[#This Row],[Reorder Level]])</f>
        <v>104</v>
      </c>
      <c r="Q483">
        <f>Table1[[#This Row],[Above Reorder QTY]]*Table1[[#This Row],[Unit Price (₹)]]</f>
        <v>46800</v>
      </c>
    </row>
    <row r="484" spans="1:17" x14ac:dyDescent="0.25">
      <c r="A484" s="3">
        <v>46138</v>
      </c>
      <c r="B484" t="s">
        <v>54</v>
      </c>
      <c r="C484" t="s">
        <v>50</v>
      </c>
      <c r="D484" t="s">
        <v>41</v>
      </c>
      <c r="E484" t="s">
        <v>20</v>
      </c>
      <c r="F484">
        <v>151</v>
      </c>
      <c r="G484">
        <v>45</v>
      </c>
      <c r="H484" t="s">
        <v>21</v>
      </c>
      <c r="I484">
        <v>1500</v>
      </c>
      <c r="J484">
        <v>44180.74</v>
      </c>
      <c r="K484">
        <v>15</v>
      </c>
      <c r="L484">
        <v>22302.84</v>
      </c>
      <c r="M484" t="s">
        <v>60</v>
      </c>
      <c r="N484">
        <f>Table1[[#This Row],[Quantity]]*Table1[[#This Row],[Unit Price (₹)]]</f>
        <v>226500</v>
      </c>
      <c r="O484">
        <f>MAX(0,Table1[[#This Row],[Reorder Level]]-Table1[[#This Row],[Quantity]])</f>
        <v>0</v>
      </c>
      <c r="P484">
        <f>MAX(0,Table1[[#This Row],[Quantity]]-Table1[[#This Row],[Reorder Level]])</f>
        <v>106</v>
      </c>
      <c r="Q484">
        <f>Table1[[#This Row],[Above Reorder QTY]]*Table1[[#This Row],[Unit Price (₹)]]</f>
        <v>159000</v>
      </c>
    </row>
    <row r="485" spans="1:17" x14ac:dyDescent="0.25">
      <c r="A485" s="3">
        <v>46139</v>
      </c>
      <c r="B485" t="s">
        <v>36</v>
      </c>
      <c r="C485" t="s">
        <v>24</v>
      </c>
      <c r="D485" t="s">
        <v>25</v>
      </c>
      <c r="E485" t="s">
        <v>45</v>
      </c>
      <c r="F485">
        <v>24</v>
      </c>
      <c r="G485">
        <v>27</v>
      </c>
      <c r="H485" t="s">
        <v>47</v>
      </c>
      <c r="I485">
        <v>3500</v>
      </c>
      <c r="J485">
        <v>16198.37</v>
      </c>
      <c r="K485">
        <v>4</v>
      </c>
      <c r="L485">
        <v>14239.85</v>
      </c>
      <c r="M485" t="s">
        <v>60</v>
      </c>
      <c r="N485">
        <f>Table1[[#This Row],[Quantity]]*Table1[[#This Row],[Unit Price (₹)]]</f>
        <v>84000</v>
      </c>
      <c r="O485">
        <f>MAX(0,Table1[[#This Row],[Reorder Level]]-Table1[[#This Row],[Quantity]])</f>
        <v>3</v>
      </c>
      <c r="P485">
        <f>MAX(0,Table1[[#This Row],[Quantity]]-Table1[[#This Row],[Reorder Level]])</f>
        <v>0</v>
      </c>
      <c r="Q485">
        <f>Table1[[#This Row],[Above Reorder QTY]]*Table1[[#This Row],[Unit Price (₹)]]</f>
        <v>0</v>
      </c>
    </row>
    <row r="486" spans="1:17" x14ac:dyDescent="0.25">
      <c r="A486" s="3">
        <v>46140</v>
      </c>
      <c r="B486" t="s">
        <v>46</v>
      </c>
      <c r="C486" t="s">
        <v>18</v>
      </c>
      <c r="D486" t="s">
        <v>25</v>
      </c>
      <c r="E486" t="s">
        <v>26</v>
      </c>
      <c r="F486">
        <v>94</v>
      </c>
      <c r="G486">
        <v>12</v>
      </c>
      <c r="H486" t="s">
        <v>21</v>
      </c>
      <c r="I486">
        <v>6000</v>
      </c>
      <c r="J486">
        <v>149095.43</v>
      </c>
      <c r="K486">
        <v>10</v>
      </c>
      <c r="L486">
        <v>64919.81</v>
      </c>
      <c r="M486" t="s">
        <v>60</v>
      </c>
      <c r="N486">
        <f>Table1[[#This Row],[Quantity]]*Table1[[#This Row],[Unit Price (₹)]]</f>
        <v>564000</v>
      </c>
      <c r="O486">
        <f>MAX(0,Table1[[#This Row],[Reorder Level]]-Table1[[#This Row],[Quantity]])</f>
        <v>0</v>
      </c>
      <c r="P486">
        <f>MAX(0,Table1[[#This Row],[Quantity]]-Table1[[#This Row],[Reorder Level]])</f>
        <v>82</v>
      </c>
      <c r="Q486">
        <f>Table1[[#This Row],[Above Reorder QTY]]*Table1[[#This Row],[Unit Price (₹)]]</f>
        <v>492000</v>
      </c>
    </row>
    <row r="487" spans="1:17" x14ac:dyDescent="0.25">
      <c r="A487" s="3">
        <v>46141</v>
      </c>
      <c r="B487" t="s">
        <v>61</v>
      </c>
      <c r="C487" t="s">
        <v>50</v>
      </c>
      <c r="D487" t="s">
        <v>32</v>
      </c>
      <c r="E487" t="s">
        <v>26</v>
      </c>
      <c r="F487">
        <v>164</v>
      </c>
      <c r="G487">
        <v>23</v>
      </c>
      <c r="H487" t="s">
        <v>21</v>
      </c>
      <c r="I487">
        <v>900</v>
      </c>
      <c r="J487">
        <v>5978.08</v>
      </c>
      <c r="K487">
        <v>18</v>
      </c>
      <c r="L487">
        <v>15903.94</v>
      </c>
      <c r="M487" t="s">
        <v>60</v>
      </c>
      <c r="N487">
        <f>Table1[[#This Row],[Quantity]]*Table1[[#This Row],[Unit Price (₹)]]</f>
        <v>147600</v>
      </c>
      <c r="O487">
        <f>MAX(0,Table1[[#This Row],[Reorder Level]]-Table1[[#This Row],[Quantity]])</f>
        <v>0</v>
      </c>
      <c r="P487">
        <f>MAX(0,Table1[[#This Row],[Quantity]]-Table1[[#This Row],[Reorder Level]])</f>
        <v>141</v>
      </c>
      <c r="Q487">
        <f>Table1[[#This Row],[Above Reorder QTY]]*Table1[[#This Row],[Unit Price (₹)]]</f>
        <v>126900</v>
      </c>
    </row>
    <row r="488" spans="1:17" x14ac:dyDescent="0.25">
      <c r="A488" s="3">
        <v>46142</v>
      </c>
      <c r="B488" t="s">
        <v>40</v>
      </c>
      <c r="C488" t="s">
        <v>31</v>
      </c>
      <c r="D488" t="s">
        <v>19</v>
      </c>
      <c r="E488" t="s">
        <v>26</v>
      </c>
      <c r="F488">
        <v>69</v>
      </c>
      <c r="G488">
        <v>30</v>
      </c>
      <c r="H488" t="s">
        <v>21</v>
      </c>
      <c r="I488">
        <v>1400</v>
      </c>
      <c r="J488">
        <v>9245.26</v>
      </c>
      <c r="K488">
        <v>16</v>
      </c>
      <c r="L488">
        <v>23838.98</v>
      </c>
      <c r="M488" t="s">
        <v>60</v>
      </c>
      <c r="N488">
        <f>Table1[[#This Row],[Quantity]]*Table1[[#This Row],[Unit Price (₹)]]</f>
        <v>96600</v>
      </c>
      <c r="O488">
        <f>MAX(0,Table1[[#This Row],[Reorder Level]]-Table1[[#This Row],[Quantity]])</f>
        <v>0</v>
      </c>
      <c r="P488">
        <f>MAX(0,Table1[[#This Row],[Quantity]]-Table1[[#This Row],[Reorder Level]])</f>
        <v>39</v>
      </c>
      <c r="Q488">
        <f>Table1[[#This Row],[Above Reorder QTY]]*Table1[[#This Row],[Unit Price (₹)]]</f>
        <v>54600</v>
      </c>
    </row>
    <row r="489" spans="1:17" x14ac:dyDescent="0.25">
      <c r="A489" s="3">
        <v>46143</v>
      </c>
      <c r="B489" t="s">
        <v>38</v>
      </c>
      <c r="C489" t="s">
        <v>18</v>
      </c>
      <c r="D489" t="s">
        <v>41</v>
      </c>
      <c r="E489" t="s">
        <v>45</v>
      </c>
      <c r="F489">
        <v>15</v>
      </c>
      <c r="G489">
        <v>11</v>
      </c>
      <c r="H489" t="s">
        <v>21</v>
      </c>
      <c r="I489">
        <v>4500</v>
      </c>
      <c r="J489">
        <v>8153.57</v>
      </c>
      <c r="K489">
        <v>2</v>
      </c>
      <c r="L489">
        <v>8755.6299999999992</v>
      </c>
      <c r="M489" t="s">
        <v>62</v>
      </c>
      <c r="N489">
        <f>Table1[[#This Row],[Quantity]]*Table1[[#This Row],[Unit Price (₹)]]</f>
        <v>67500</v>
      </c>
      <c r="O489">
        <f>MAX(0,Table1[[#This Row],[Reorder Level]]-Table1[[#This Row],[Quantity]])</f>
        <v>0</v>
      </c>
      <c r="P489">
        <f>MAX(0,Table1[[#This Row],[Quantity]]-Table1[[#This Row],[Reorder Level]])</f>
        <v>4</v>
      </c>
      <c r="Q489">
        <f>Table1[[#This Row],[Above Reorder QTY]]*Table1[[#This Row],[Unit Price (₹)]]</f>
        <v>18000</v>
      </c>
    </row>
    <row r="490" spans="1:17" x14ac:dyDescent="0.25">
      <c r="A490" s="3">
        <v>46144</v>
      </c>
      <c r="B490" t="s">
        <v>43</v>
      </c>
      <c r="C490" t="s">
        <v>24</v>
      </c>
      <c r="D490" t="s">
        <v>42</v>
      </c>
      <c r="E490" t="s">
        <v>33</v>
      </c>
      <c r="F490">
        <v>196</v>
      </c>
      <c r="G490">
        <v>49</v>
      </c>
      <c r="H490" t="s">
        <v>21</v>
      </c>
      <c r="I490">
        <v>2200</v>
      </c>
      <c r="J490">
        <v>97039.13</v>
      </c>
      <c r="K490">
        <v>44</v>
      </c>
      <c r="L490">
        <v>99750.6</v>
      </c>
      <c r="M490" t="s">
        <v>62</v>
      </c>
      <c r="N490">
        <f>Table1[[#This Row],[Quantity]]*Table1[[#This Row],[Unit Price (₹)]]</f>
        <v>431200</v>
      </c>
      <c r="O490">
        <f>MAX(0,Table1[[#This Row],[Reorder Level]]-Table1[[#This Row],[Quantity]])</f>
        <v>0</v>
      </c>
      <c r="P490">
        <f>MAX(0,Table1[[#This Row],[Quantity]]-Table1[[#This Row],[Reorder Level]])</f>
        <v>147</v>
      </c>
      <c r="Q490">
        <f>Table1[[#This Row],[Above Reorder QTY]]*Table1[[#This Row],[Unit Price (₹)]]</f>
        <v>323400</v>
      </c>
    </row>
    <row r="491" spans="1:17" x14ac:dyDescent="0.25">
      <c r="A491" s="3">
        <v>46145</v>
      </c>
      <c r="B491" t="s">
        <v>49</v>
      </c>
      <c r="C491" t="s">
        <v>50</v>
      </c>
      <c r="D491" t="s">
        <v>41</v>
      </c>
      <c r="E491" t="s">
        <v>29</v>
      </c>
      <c r="F491">
        <v>220</v>
      </c>
      <c r="G491">
        <v>24</v>
      </c>
      <c r="H491" t="s">
        <v>21</v>
      </c>
      <c r="I491">
        <v>850</v>
      </c>
      <c r="J491">
        <v>7694.95</v>
      </c>
      <c r="K491">
        <v>41</v>
      </c>
      <c r="L491">
        <v>38125.94</v>
      </c>
      <c r="M491" t="s">
        <v>62</v>
      </c>
      <c r="N491">
        <f>Table1[[#This Row],[Quantity]]*Table1[[#This Row],[Unit Price (₹)]]</f>
        <v>187000</v>
      </c>
      <c r="O491">
        <f>MAX(0,Table1[[#This Row],[Reorder Level]]-Table1[[#This Row],[Quantity]])</f>
        <v>0</v>
      </c>
      <c r="P491">
        <f>MAX(0,Table1[[#This Row],[Quantity]]-Table1[[#This Row],[Reorder Level]])</f>
        <v>196</v>
      </c>
      <c r="Q491">
        <f>Table1[[#This Row],[Above Reorder QTY]]*Table1[[#This Row],[Unit Price (₹)]]</f>
        <v>166600</v>
      </c>
    </row>
    <row r="492" spans="1:17" x14ac:dyDescent="0.25">
      <c r="A492" s="3">
        <v>46146</v>
      </c>
      <c r="B492" t="s">
        <v>34</v>
      </c>
      <c r="C492" t="s">
        <v>18</v>
      </c>
      <c r="D492" t="s">
        <v>25</v>
      </c>
      <c r="E492" t="s">
        <v>33</v>
      </c>
      <c r="F492">
        <v>160</v>
      </c>
      <c r="G492">
        <v>45</v>
      </c>
      <c r="H492" t="s">
        <v>21</v>
      </c>
      <c r="I492">
        <v>8500</v>
      </c>
      <c r="J492">
        <v>15663.68</v>
      </c>
      <c r="K492">
        <v>20</v>
      </c>
      <c r="L492">
        <v>193416.3</v>
      </c>
      <c r="M492" t="s">
        <v>62</v>
      </c>
      <c r="N492">
        <f>Table1[[#This Row],[Quantity]]*Table1[[#This Row],[Unit Price (₹)]]</f>
        <v>1360000</v>
      </c>
      <c r="O492">
        <f>MAX(0,Table1[[#This Row],[Reorder Level]]-Table1[[#This Row],[Quantity]])</f>
        <v>0</v>
      </c>
      <c r="P492">
        <f>MAX(0,Table1[[#This Row],[Quantity]]-Table1[[#This Row],[Reorder Level]])</f>
        <v>115</v>
      </c>
      <c r="Q492">
        <f>Table1[[#This Row],[Above Reorder QTY]]*Table1[[#This Row],[Unit Price (₹)]]</f>
        <v>977500</v>
      </c>
    </row>
    <row r="493" spans="1:17" x14ac:dyDescent="0.25">
      <c r="A493" s="3">
        <v>46147</v>
      </c>
      <c r="B493" t="s">
        <v>51</v>
      </c>
      <c r="C493" t="s">
        <v>18</v>
      </c>
      <c r="D493" t="s">
        <v>25</v>
      </c>
      <c r="E493" t="s">
        <v>20</v>
      </c>
      <c r="F493">
        <v>78</v>
      </c>
      <c r="G493">
        <v>14</v>
      </c>
      <c r="H493" t="s">
        <v>21</v>
      </c>
      <c r="I493">
        <v>450</v>
      </c>
      <c r="J493">
        <v>3531.78</v>
      </c>
      <c r="K493">
        <v>14</v>
      </c>
      <c r="L493">
        <v>6155.55</v>
      </c>
      <c r="M493" t="s">
        <v>62</v>
      </c>
      <c r="N493">
        <f>Table1[[#This Row],[Quantity]]*Table1[[#This Row],[Unit Price (₹)]]</f>
        <v>35100</v>
      </c>
      <c r="O493">
        <f>MAX(0,Table1[[#This Row],[Reorder Level]]-Table1[[#This Row],[Quantity]])</f>
        <v>0</v>
      </c>
      <c r="P493">
        <f>MAX(0,Table1[[#This Row],[Quantity]]-Table1[[#This Row],[Reorder Level]])</f>
        <v>64</v>
      </c>
      <c r="Q493">
        <f>Table1[[#This Row],[Above Reorder QTY]]*Table1[[#This Row],[Unit Price (₹)]]</f>
        <v>28800</v>
      </c>
    </row>
    <row r="494" spans="1:17" x14ac:dyDescent="0.25">
      <c r="A494" s="3">
        <v>46148</v>
      </c>
      <c r="B494" t="s">
        <v>56</v>
      </c>
      <c r="C494" t="s">
        <v>28</v>
      </c>
      <c r="D494" t="s">
        <v>42</v>
      </c>
      <c r="E494" t="s">
        <v>37</v>
      </c>
      <c r="F494">
        <v>247</v>
      </c>
      <c r="G494">
        <v>20</v>
      </c>
      <c r="H494" t="s">
        <v>21</v>
      </c>
      <c r="I494">
        <v>1200</v>
      </c>
      <c r="J494">
        <v>34719.53</v>
      </c>
      <c r="K494">
        <v>14</v>
      </c>
      <c r="L494">
        <v>18332.689999999999</v>
      </c>
      <c r="M494" t="s">
        <v>62</v>
      </c>
      <c r="N494">
        <f>Table1[[#This Row],[Quantity]]*Table1[[#This Row],[Unit Price (₹)]]</f>
        <v>296400</v>
      </c>
      <c r="O494">
        <f>MAX(0,Table1[[#This Row],[Reorder Level]]-Table1[[#This Row],[Quantity]])</f>
        <v>0</v>
      </c>
      <c r="P494">
        <f>MAX(0,Table1[[#This Row],[Quantity]]-Table1[[#This Row],[Reorder Level]])</f>
        <v>227</v>
      </c>
      <c r="Q494">
        <f>Table1[[#This Row],[Above Reorder QTY]]*Table1[[#This Row],[Unit Price (₹)]]</f>
        <v>272400</v>
      </c>
    </row>
    <row r="495" spans="1:17" x14ac:dyDescent="0.25">
      <c r="A495" s="3">
        <v>46149</v>
      </c>
      <c r="B495" t="s">
        <v>49</v>
      </c>
      <c r="C495" t="s">
        <v>50</v>
      </c>
      <c r="D495" t="s">
        <v>25</v>
      </c>
      <c r="E495" t="s">
        <v>26</v>
      </c>
      <c r="F495">
        <v>32</v>
      </c>
      <c r="G495">
        <v>49</v>
      </c>
      <c r="H495" t="s">
        <v>47</v>
      </c>
      <c r="I495">
        <v>850</v>
      </c>
      <c r="J495">
        <v>3199.99</v>
      </c>
      <c r="K495">
        <v>2</v>
      </c>
      <c r="L495">
        <v>1743.89</v>
      </c>
      <c r="M495" t="s">
        <v>62</v>
      </c>
      <c r="N495">
        <f>Table1[[#This Row],[Quantity]]*Table1[[#This Row],[Unit Price (₹)]]</f>
        <v>27200</v>
      </c>
      <c r="O495">
        <f>MAX(0,Table1[[#This Row],[Reorder Level]]-Table1[[#This Row],[Quantity]])</f>
        <v>17</v>
      </c>
      <c r="P495">
        <f>MAX(0,Table1[[#This Row],[Quantity]]-Table1[[#This Row],[Reorder Level]])</f>
        <v>0</v>
      </c>
      <c r="Q495">
        <f>Table1[[#This Row],[Above Reorder QTY]]*Table1[[#This Row],[Unit Price (₹)]]</f>
        <v>0</v>
      </c>
    </row>
    <row r="496" spans="1:17" x14ac:dyDescent="0.25">
      <c r="A496" s="3">
        <v>46150</v>
      </c>
      <c r="B496" t="s">
        <v>23</v>
      </c>
      <c r="C496" t="s">
        <v>24</v>
      </c>
      <c r="D496" t="s">
        <v>32</v>
      </c>
      <c r="E496" t="s">
        <v>35</v>
      </c>
      <c r="F496">
        <v>208</v>
      </c>
      <c r="G496">
        <v>46</v>
      </c>
      <c r="H496" t="s">
        <v>21</v>
      </c>
      <c r="I496">
        <v>2800</v>
      </c>
      <c r="J496">
        <v>93594.16</v>
      </c>
      <c r="K496">
        <v>48</v>
      </c>
      <c r="L496">
        <v>133332.24</v>
      </c>
      <c r="M496" t="s">
        <v>62</v>
      </c>
      <c r="N496">
        <f>Table1[[#This Row],[Quantity]]*Table1[[#This Row],[Unit Price (₹)]]</f>
        <v>582400</v>
      </c>
      <c r="O496">
        <f>MAX(0,Table1[[#This Row],[Reorder Level]]-Table1[[#This Row],[Quantity]])</f>
        <v>0</v>
      </c>
      <c r="P496">
        <f>MAX(0,Table1[[#This Row],[Quantity]]-Table1[[#This Row],[Reorder Level]])</f>
        <v>162</v>
      </c>
      <c r="Q496">
        <f>Table1[[#This Row],[Above Reorder QTY]]*Table1[[#This Row],[Unit Price (₹)]]</f>
        <v>453600</v>
      </c>
    </row>
    <row r="497" spans="1:17" x14ac:dyDescent="0.25">
      <c r="A497" s="3">
        <v>46151</v>
      </c>
      <c r="B497" t="s">
        <v>48</v>
      </c>
      <c r="C497" t="s">
        <v>28</v>
      </c>
      <c r="D497" t="s">
        <v>42</v>
      </c>
      <c r="E497" t="s">
        <v>20</v>
      </c>
      <c r="F497">
        <v>83</v>
      </c>
      <c r="G497">
        <v>26</v>
      </c>
      <c r="H497" t="s">
        <v>21</v>
      </c>
      <c r="I497">
        <v>45</v>
      </c>
      <c r="J497">
        <v>221.85</v>
      </c>
      <c r="K497">
        <v>17</v>
      </c>
      <c r="L497">
        <v>866.42</v>
      </c>
      <c r="M497" t="s">
        <v>62</v>
      </c>
      <c r="N497">
        <f>Table1[[#This Row],[Quantity]]*Table1[[#This Row],[Unit Price (₹)]]</f>
        <v>3735</v>
      </c>
      <c r="O497">
        <f>MAX(0,Table1[[#This Row],[Reorder Level]]-Table1[[#This Row],[Quantity]])</f>
        <v>0</v>
      </c>
      <c r="P497">
        <f>MAX(0,Table1[[#This Row],[Quantity]]-Table1[[#This Row],[Reorder Level]])</f>
        <v>57</v>
      </c>
      <c r="Q497">
        <f>Table1[[#This Row],[Above Reorder QTY]]*Table1[[#This Row],[Unit Price (₹)]]</f>
        <v>2565</v>
      </c>
    </row>
    <row r="498" spans="1:17" x14ac:dyDescent="0.25">
      <c r="A498" s="3">
        <v>46152</v>
      </c>
      <c r="B498" t="s">
        <v>23</v>
      </c>
      <c r="C498" t="s">
        <v>24</v>
      </c>
      <c r="D498" t="s">
        <v>32</v>
      </c>
      <c r="E498" t="s">
        <v>33</v>
      </c>
      <c r="F498">
        <v>87</v>
      </c>
      <c r="G498">
        <v>10</v>
      </c>
      <c r="H498" t="s">
        <v>21</v>
      </c>
      <c r="I498">
        <v>2800</v>
      </c>
      <c r="J498">
        <v>39062.9</v>
      </c>
      <c r="K498">
        <v>1</v>
      </c>
      <c r="L498">
        <v>3051.8</v>
      </c>
      <c r="M498" t="s">
        <v>62</v>
      </c>
      <c r="N498">
        <f>Table1[[#This Row],[Quantity]]*Table1[[#This Row],[Unit Price (₹)]]</f>
        <v>243600</v>
      </c>
      <c r="O498">
        <f>MAX(0,Table1[[#This Row],[Reorder Level]]-Table1[[#This Row],[Quantity]])</f>
        <v>0</v>
      </c>
      <c r="P498">
        <f>MAX(0,Table1[[#This Row],[Quantity]]-Table1[[#This Row],[Reorder Level]])</f>
        <v>77</v>
      </c>
      <c r="Q498">
        <f>Table1[[#This Row],[Above Reorder QTY]]*Table1[[#This Row],[Unit Price (₹)]]</f>
        <v>215600</v>
      </c>
    </row>
    <row r="499" spans="1:17" x14ac:dyDescent="0.25">
      <c r="A499" s="3">
        <v>46153</v>
      </c>
      <c r="B499" t="s">
        <v>56</v>
      </c>
      <c r="C499" t="s">
        <v>28</v>
      </c>
      <c r="D499" t="s">
        <v>25</v>
      </c>
      <c r="E499" t="s">
        <v>33</v>
      </c>
      <c r="F499">
        <v>107</v>
      </c>
      <c r="G499">
        <v>11</v>
      </c>
      <c r="H499" t="s">
        <v>21</v>
      </c>
      <c r="I499">
        <v>1200</v>
      </c>
      <c r="J499">
        <v>13528.37</v>
      </c>
      <c r="K499">
        <v>8</v>
      </c>
      <c r="L499">
        <v>10320.58</v>
      </c>
      <c r="M499" t="s">
        <v>62</v>
      </c>
      <c r="N499">
        <f>Table1[[#This Row],[Quantity]]*Table1[[#This Row],[Unit Price (₹)]]</f>
        <v>128400</v>
      </c>
      <c r="O499">
        <f>MAX(0,Table1[[#This Row],[Reorder Level]]-Table1[[#This Row],[Quantity]])</f>
        <v>0</v>
      </c>
      <c r="P499">
        <f>MAX(0,Table1[[#This Row],[Quantity]]-Table1[[#This Row],[Reorder Level]])</f>
        <v>96</v>
      </c>
      <c r="Q499">
        <f>Table1[[#This Row],[Above Reorder QTY]]*Table1[[#This Row],[Unit Price (₹)]]</f>
        <v>115200</v>
      </c>
    </row>
    <row r="500" spans="1:17" x14ac:dyDescent="0.25">
      <c r="A500" s="3">
        <v>46154</v>
      </c>
      <c r="B500" t="s">
        <v>57</v>
      </c>
      <c r="C500" t="s">
        <v>24</v>
      </c>
      <c r="D500" t="s">
        <v>41</v>
      </c>
      <c r="E500" t="s">
        <v>37</v>
      </c>
      <c r="F500">
        <v>163</v>
      </c>
      <c r="G500">
        <v>32</v>
      </c>
      <c r="H500" t="s">
        <v>21</v>
      </c>
      <c r="I500">
        <v>1200</v>
      </c>
      <c r="J500">
        <v>7124.91</v>
      </c>
      <c r="K500">
        <v>31</v>
      </c>
      <c r="L500">
        <v>37726.26</v>
      </c>
      <c r="M500" t="s">
        <v>62</v>
      </c>
      <c r="N500">
        <f>Table1[[#This Row],[Quantity]]*Table1[[#This Row],[Unit Price (₹)]]</f>
        <v>195600</v>
      </c>
      <c r="O500">
        <f>MAX(0,Table1[[#This Row],[Reorder Level]]-Table1[[#This Row],[Quantity]])</f>
        <v>0</v>
      </c>
      <c r="P500">
        <f>MAX(0,Table1[[#This Row],[Quantity]]-Table1[[#This Row],[Reorder Level]])</f>
        <v>131</v>
      </c>
      <c r="Q500">
        <f>Table1[[#This Row],[Above Reorder QTY]]*Table1[[#This Row],[Unit Price (₹)]]</f>
        <v>157200</v>
      </c>
    </row>
    <row r="501" spans="1:17" x14ac:dyDescent="0.25">
      <c r="A501" s="3">
        <v>46155</v>
      </c>
      <c r="B501" t="s">
        <v>54</v>
      </c>
      <c r="C501" t="s">
        <v>50</v>
      </c>
      <c r="D501" t="s">
        <v>41</v>
      </c>
      <c r="E501" t="s">
        <v>45</v>
      </c>
      <c r="F501">
        <v>127</v>
      </c>
      <c r="G501">
        <v>25</v>
      </c>
      <c r="H501" t="s">
        <v>21</v>
      </c>
      <c r="I501">
        <v>1500</v>
      </c>
      <c r="J501">
        <v>11213.18</v>
      </c>
      <c r="K501">
        <v>12</v>
      </c>
      <c r="L501">
        <v>19384.400000000001</v>
      </c>
      <c r="M501" t="s">
        <v>62</v>
      </c>
      <c r="N501">
        <f>Table1[[#This Row],[Quantity]]*Table1[[#This Row],[Unit Price (₹)]]</f>
        <v>190500</v>
      </c>
      <c r="O501">
        <f>MAX(0,Table1[[#This Row],[Reorder Level]]-Table1[[#This Row],[Quantity]])</f>
        <v>0</v>
      </c>
      <c r="P501">
        <f>MAX(0,Table1[[#This Row],[Quantity]]-Table1[[#This Row],[Reorder Level]])</f>
        <v>102</v>
      </c>
      <c r="Q501">
        <f>Table1[[#This Row],[Above Reorder QTY]]*Table1[[#This Row],[Unit Price (₹)]]</f>
        <v>153000</v>
      </c>
    </row>
    <row r="502" spans="1:17" x14ac:dyDescent="0.25">
      <c r="A502" s="3">
        <v>46156</v>
      </c>
      <c r="B502" t="s">
        <v>36</v>
      </c>
      <c r="C502" t="s">
        <v>24</v>
      </c>
      <c r="D502" t="s">
        <v>32</v>
      </c>
      <c r="E502" t="s">
        <v>45</v>
      </c>
      <c r="F502">
        <v>201</v>
      </c>
      <c r="G502">
        <v>39</v>
      </c>
      <c r="H502" t="s">
        <v>21</v>
      </c>
      <c r="I502">
        <v>3500</v>
      </c>
      <c r="J502">
        <v>201911.35</v>
      </c>
      <c r="K502">
        <v>3</v>
      </c>
      <c r="L502">
        <v>11471.98</v>
      </c>
      <c r="M502" t="s">
        <v>62</v>
      </c>
      <c r="N502">
        <f>Table1[[#This Row],[Quantity]]*Table1[[#This Row],[Unit Price (₹)]]</f>
        <v>703500</v>
      </c>
      <c r="O502">
        <f>MAX(0,Table1[[#This Row],[Reorder Level]]-Table1[[#This Row],[Quantity]])</f>
        <v>0</v>
      </c>
      <c r="P502">
        <f>MAX(0,Table1[[#This Row],[Quantity]]-Table1[[#This Row],[Reorder Level]])</f>
        <v>162</v>
      </c>
      <c r="Q502">
        <f>Table1[[#This Row],[Above Reorder QTY]]*Table1[[#This Row],[Unit Price (₹)]]</f>
        <v>567000</v>
      </c>
    </row>
    <row r="503" spans="1:17" x14ac:dyDescent="0.25">
      <c r="A503" s="3">
        <v>46157</v>
      </c>
      <c r="B503" t="s">
        <v>46</v>
      </c>
      <c r="C503" t="s">
        <v>18</v>
      </c>
      <c r="D503" t="s">
        <v>41</v>
      </c>
      <c r="E503" t="s">
        <v>29</v>
      </c>
      <c r="F503">
        <v>193</v>
      </c>
      <c r="G503">
        <v>16</v>
      </c>
      <c r="H503" t="s">
        <v>21</v>
      </c>
      <c r="I503">
        <v>6000</v>
      </c>
      <c r="J503">
        <v>89466.69</v>
      </c>
      <c r="K503">
        <v>39</v>
      </c>
      <c r="L503">
        <v>238093.91</v>
      </c>
      <c r="M503" t="s">
        <v>62</v>
      </c>
      <c r="N503">
        <f>Table1[[#This Row],[Quantity]]*Table1[[#This Row],[Unit Price (₹)]]</f>
        <v>1158000</v>
      </c>
      <c r="O503">
        <f>MAX(0,Table1[[#This Row],[Reorder Level]]-Table1[[#This Row],[Quantity]])</f>
        <v>0</v>
      </c>
      <c r="P503">
        <f>MAX(0,Table1[[#This Row],[Quantity]]-Table1[[#This Row],[Reorder Level]])</f>
        <v>177</v>
      </c>
      <c r="Q503">
        <f>Table1[[#This Row],[Above Reorder QTY]]*Table1[[#This Row],[Unit Price (₹)]]</f>
        <v>1062000</v>
      </c>
    </row>
  </sheetData>
  <pageMargins left="0.75" right="0.75" top="1" bottom="1" header="0.5" footer="0.5"/>
  <pageSetup paperSize="9" orientation="portrait" horizontalDpi="4294967293" verticalDpi="4294967293"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FF502441-3758-437F-9FC6-6810BAFCCA9B}">
  <ds:schemaRefs/>
</ds:datastoreItem>
</file>

<file path=customXml/itemProps2.xml><?xml version="1.0" encoding="utf-8"?>
<ds:datastoreItem xmlns:ds="http://schemas.openxmlformats.org/officeDocument/2006/customXml" ds:itemID="{DC1AA55C-31A8-4EC1-B12C-9D10CD39555C}">
  <ds:schemaRefs/>
</ds:datastoreItem>
</file>

<file path=customXml/itemProps3.xml><?xml version="1.0" encoding="utf-8"?>
<ds:datastoreItem xmlns:ds="http://schemas.openxmlformats.org/officeDocument/2006/customXml" ds:itemID="{C4255058-3243-4F3D-A1BD-B3F435A904F1}">
  <ds:schemaRefs/>
</ds:datastoreItem>
</file>

<file path=customXml/itemProps4.xml><?xml version="1.0" encoding="utf-8"?>
<ds:datastoreItem xmlns:ds="http://schemas.openxmlformats.org/officeDocument/2006/customXml" ds:itemID="{A2091DAB-C618-4921-9590-107C5A113015}">
  <ds:schemaRefs/>
</ds:datastoreItem>
</file>

<file path=customXml/itemProps5.xml><?xml version="1.0" encoding="utf-8"?>
<ds:datastoreItem xmlns:ds="http://schemas.openxmlformats.org/officeDocument/2006/customXml" ds:itemID="{18AA4F85-BD94-4EEE-8CA1-305D45461C9B}">
  <ds:schemaRefs/>
</ds:datastoreItem>
</file>

<file path=customXml/itemProps6.xml><?xml version="1.0" encoding="utf-8"?>
<ds:datastoreItem xmlns:ds="http://schemas.openxmlformats.org/officeDocument/2006/customXml" ds:itemID="{5D4D1D0F-E923-4061-8EEA-13CB600E499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Detail1</vt:lpstr>
      <vt:lpstr>Pivot Table</vt:lpstr>
      <vt:lpstr>Sheet1</vt:lpstr>
      <vt:lpstr>Inventory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dc:creator>
  <cp:lastModifiedBy>Ritika vishwakarma</cp:lastModifiedBy>
  <dcterms:created xsi:type="dcterms:W3CDTF">2026-09-05T10:05:00Z</dcterms:created>
  <dcterms:modified xsi:type="dcterms:W3CDTF">2026-09-15T10:33:43Z</dcterms:modified>
</cp:coreProperties>
</file>